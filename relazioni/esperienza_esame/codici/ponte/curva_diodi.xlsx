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lessiobrusini/Desktop/LABORATORIO-DI-ELETTROMAGNETISMO/relazioni/esperienza_esame/codici/ponte/"/>
    </mc:Choice>
  </mc:AlternateContent>
  <xr:revisionPtr revIDLastSave="0" documentId="13_ncr:1_{CDD1D369-D8D7-A84A-BBB5-104EEACEBCCC}" xr6:coauthVersionLast="47" xr6:coauthVersionMax="47" xr10:uidLastSave="{00000000-0000-0000-0000-000000000000}"/>
  <bookViews>
    <workbookView xWindow="0" yWindow="680" windowWidth="30240" windowHeight="17460" xr2:uid="{EBFDC963-0FF7-0749-881A-DEC0589CDFEF}"/>
  </bookViews>
  <sheets>
    <sheet name="Diodo_1" sheetId="1" r:id="rId1"/>
    <sheet name="Diodo_2" sheetId="2" r:id="rId2"/>
    <sheet name="Diodo_3" sheetId="4" r:id="rId3"/>
    <sheet name="Diodo_4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3" l="1"/>
  <c r="I28" i="3"/>
  <c r="I29" i="3"/>
  <c r="I30" i="3"/>
  <c r="I31" i="3"/>
  <c r="I32" i="3"/>
  <c r="I33" i="3"/>
  <c r="I34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25" i="2"/>
  <c r="I26" i="2"/>
  <c r="I27" i="2"/>
  <c r="I28" i="2"/>
  <c r="I29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E29" i="2"/>
  <c r="F29" i="2" s="1"/>
  <c r="C29" i="2"/>
  <c r="D29" i="2" s="1"/>
  <c r="E28" i="2"/>
  <c r="F28" i="2" s="1"/>
  <c r="C28" i="2"/>
  <c r="D28" i="2" s="1"/>
  <c r="E27" i="2"/>
  <c r="F27" i="2" s="1"/>
  <c r="C27" i="2"/>
  <c r="D27" i="2" s="1"/>
  <c r="E26" i="2"/>
  <c r="F26" i="2" s="1"/>
  <c r="D26" i="2"/>
  <c r="C26" i="2"/>
  <c r="E25" i="2"/>
  <c r="F25" i="2" s="1"/>
  <c r="C25" i="2"/>
  <c r="D25" i="2" s="1"/>
  <c r="E24" i="2"/>
  <c r="F24" i="2" s="1"/>
  <c r="C24" i="2"/>
  <c r="D24" i="2" s="1"/>
  <c r="E23" i="2"/>
  <c r="F23" i="2" s="1"/>
  <c r="C23" i="2"/>
  <c r="D23" i="2" s="1"/>
  <c r="E22" i="2"/>
  <c r="F22" i="2" s="1"/>
  <c r="C22" i="2"/>
  <c r="D22" i="2" s="1"/>
  <c r="E21" i="2"/>
  <c r="F21" i="2" s="1"/>
  <c r="C21" i="2"/>
  <c r="D21" i="2" s="1"/>
  <c r="E20" i="2"/>
  <c r="F20" i="2" s="1"/>
  <c r="C20" i="2"/>
  <c r="D20" i="2" s="1"/>
  <c r="E19" i="2"/>
  <c r="F19" i="2" s="1"/>
  <c r="C19" i="2"/>
  <c r="D19" i="2" s="1"/>
  <c r="E18" i="2"/>
  <c r="F18" i="2" s="1"/>
  <c r="C18" i="2"/>
  <c r="D18" i="2" s="1"/>
  <c r="E17" i="2"/>
  <c r="F17" i="2" s="1"/>
  <c r="C17" i="2"/>
  <c r="D17" i="2" s="1"/>
  <c r="E16" i="2"/>
  <c r="F16" i="2" s="1"/>
  <c r="C16" i="2"/>
  <c r="D16" i="2" s="1"/>
  <c r="E15" i="2"/>
  <c r="F15" i="2" s="1"/>
  <c r="C15" i="2"/>
  <c r="D15" i="2" s="1"/>
  <c r="E14" i="2"/>
  <c r="F14" i="2" s="1"/>
  <c r="D14" i="2"/>
  <c r="C14" i="2"/>
  <c r="E13" i="2"/>
  <c r="F13" i="2" s="1"/>
  <c r="C13" i="2"/>
  <c r="D13" i="2" s="1"/>
  <c r="E12" i="2"/>
  <c r="F12" i="2" s="1"/>
  <c r="C12" i="2"/>
  <c r="D12" i="2" s="1"/>
  <c r="E11" i="2"/>
  <c r="F11" i="2" s="1"/>
  <c r="C11" i="2"/>
  <c r="D11" i="2" s="1"/>
  <c r="E10" i="2"/>
  <c r="F10" i="2" s="1"/>
  <c r="C10" i="2"/>
  <c r="D10" i="2" s="1"/>
  <c r="E9" i="2"/>
  <c r="F9" i="2" s="1"/>
  <c r="C9" i="2"/>
  <c r="D9" i="2" s="1"/>
  <c r="E8" i="2"/>
  <c r="F8" i="2" s="1"/>
  <c r="C8" i="2"/>
  <c r="D8" i="2" s="1"/>
  <c r="E7" i="2"/>
  <c r="F7" i="2" s="1"/>
  <c r="C7" i="2"/>
  <c r="D7" i="2" s="1"/>
  <c r="E6" i="2"/>
  <c r="F6" i="2" s="1"/>
  <c r="C6" i="2"/>
  <c r="D6" i="2" s="1"/>
  <c r="E5" i="2"/>
  <c r="F5" i="2" s="1"/>
  <c r="D5" i="2"/>
  <c r="C5" i="2"/>
  <c r="E4" i="2"/>
  <c r="F4" i="2" s="1"/>
  <c r="C4" i="2"/>
  <c r="D4" i="2" s="1"/>
  <c r="E3" i="2"/>
  <c r="F3" i="2" s="1"/>
  <c r="C3" i="2"/>
  <c r="D3" i="2" s="1"/>
  <c r="E2" i="2"/>
  <c r="F2" i="2" s="1"/>
  <c r="D2" i="2"/>
  <c r="C2" i="2"/>
</calcChain>
</file>

<file path=xl/sharedStrings.xml><?xml version="1.0" encoding="utf-8"?>
<sst xmlns="http://schemas.openxmlformats.org/spreadsheetml/2006/main" count="36" uniqueCount="9">
  <si>
    <t>I [mA]</t>
  </si>
  <si>
    <t>V[V]</t>
  </si>
  <si>
    <t>R[Ω]</t>
  </si>
  <si>
    <t>ΔR[Ω]</t>
  </si>
  <si>
    <t>R_din[Ω]</t>
  </si>
  <si>
    <t>ΔR_din[Ω]</t>
  </si>
  <si>
    <t>err_I</t>
  </si>
  <si>
    <t>err_V</t>
  </si>
  <si>
    <t>ln_I[mA]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</si>
</sst>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1" fillId="3" borderId="1" xfId="0" applyFont="1" applyFill="1" applyBorder="1"/>
    <xf numFmtId="0" fontId="1" fillId="3" borderId="4" xfId="0" applyFont="1" applyFill="1" applyBorder="1"/>
    <xf numFmtId="0" fontId="1" fillId="0" borderId="3" xfId="0" applyFont="1" applyBorder="1"/>
    <xf numFmtId="0" fontId="1" fillId="0" borderId="5" xfId="0" applyFont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0" xfId="0" applyFont="1"/>
    <xf numFmtId="0" fontId="1" fillId="3" borderId="2" xfId="0" applyFont="1" applyFill="1" applyBorder="1"/>
    <xf numFmtId="0" fontId="1" fillId="3" borderId="8" xfId="0" applyFont="1" applyFill="1" applyBorder="1"/>
    <xf numFmtId="0" fontId="1" fillId="3" borderId="7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its-my.sharepoint.com/personal/s314845_ds_units_it/Documents/Esp_esame.xlsx" TargetMode="External"/><Relationship Id="rId1" Type="http://schemas.openxmlformats.org/officeDocument/2006/relationships/externalLinkPath" Target="https://units-my.sharepoint.com/personal/s314845_ds_units_it/Documents/Esp_esam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umenti"/>
      <sheetName val="File"/>
      <sheetName val="CURVE DIODI"/>
      <sheetName val="FASE DI MISURA 1 diodo"/>
      <sheetName val="FASE DI MISURA"/>
    </sheetNames>
    <sheetDataSet>
      <sheetData sheetId="0">
        <row r="2">
          <cell r="A2">
            <v>1E-3</v>
          </cell>
          <cell r="B2">
            <v>0.01</v>
          </cell>
          <cell r="C2">
            <v>1E-3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F2CA-ABD6-5F46-9EAB-7F8D56F8DC51}">
  <dimension ref="A1:I27"/>
  <sheetViews>
    <sheetView tabSelected="1" zoomScale="94" workbookViewId="0">
      <selection activeCell="K9" sqref="K9"/>
    </sheetView>
  </sheetViews>
  <sheetFormatPr baseColWidth="10" defaultColWidth="8.83203125" defaultRowHeight="15" x14ac:dyDescent="0.2"/>
  <sheetData>
    <row r="1" spans="1:9" x14ac:dyDescent="0.2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</row>
    <row r="2" spans="1:9" x14ac:dyDescent="0.2">
      <c r="A2" s="12">
        <v>6.8000000000000005E-2</v>
      </c>
      <c r="B2" s="13">
        <v>0.46300000000000002</v>
      </c>
      <c r="C2" s="13">
        <v>6.8088240000000004</v>
      </c>
      <c r="D2" s="13">
        <v>0.11483599999999999</v>
      </c>
      <c r="E2" s="13">
        <v>0.42372900000000002</v>
      </c>
      <c r="F2" s="13">
        <v>6.3559000000000004E-2</v>
      </c>
      <c r="G2" s="11">
        <v>1E-3</v>
      </c>
      <c r="H2" s="11">
        <v>1E-3</v>
      </c>
      <c r="I2">
        <f>LN(A2)</f>
        <v>-2.6882475738060303</v>
      </c>
    </row>
    <row r="3" spans="1:9" x14ac:dyDescent="0.2">
      <c r="A3" s="6">
        <v>8.7999999999999995E-2</v>
      </c>
      <c r="B3" s="7">
        <v>0.47299999999999998</v>
      </c>
      <c r="C3" s="7">
        <v>5.375</v>
      </c>
      <c r="D3" s="7">
        <v>7.2442999999999994E-2</v>
      </c>
      <c r="E3" s="7">
        <v>0.35483900000000002</v>
      </c>
      <c r="F3" s="7">
        <v>3.2753999999999998E-2</v>
      </c>
      <c r="G3" s="11">
        <v>1E-3</v>
      </c>
      <c r="H3" s="11">
        <v>1E-3</v>
      </c>
      <c r="I3">
        <f t="shared" ref="I3:I26" si="0">LN(A3)</f>
        <v>-2.4304184645039308</v>
      </c>
    </row>
    <row r="4" spans="1:9" x14ac:dyDescent="0.2">
      <c r="A4" s="6">
        <v>0.127</v>
      </c>
      <c r="B4" s="7">
        <v>0.48799999999999999</v>
      </c>
      <c r="C4" s="7">
        <v>3.8425199999999999</v>
      </c>
      <c r="D4" s="7">
        <v>3.8129999999999997E-2</v>
      </c>
      <c r="E4" s="7">
        <v>0.22875799999999999</v>
      </c>
      <c r="F4" s="7">
        <v>4.2625999999999997E-2</v>
      </c>
      <c r="G4" s="11">
        <v>1E-3</v>
      </c>
      <c r="H4" s="11">
        <v>1E-3</v>
      </c>
      <c r="I4">
        <f t="shared" si="0"/>
        <v>-2.0635681925235456</v>
      </c>
    </row>
    <row r="5" spans="1:9" x14ac:dyDescent="0.2">
      <c r="A5" s="6">
        <v>0.15</v>
      </c>
      <c r="B5" s="7">
        <v>0.495</v>
      </c>
      <c r="C5" s="7">
        <v>3.3</v>
      </c>
      <c r="D5" s="7">
        <v>0.22666700000000001</v>
      </c>
      <c r="E5" s="7">
        <v>0.21538499999999999</v>
      </c>
      <c r="F5" s="7">
        <v>2.426E-2</v>
      </c>
      <c r="G5" s="11">
        <v>0.01</v>
      </c>
      <c r="H5" s="11">
        <v>1E-3</v>
      </c>
      <c r="I5">
        <f t="shared" si="0"/>
        <v>-1.8971199848858813</v>
      </c>
    </row>
    <row r="6" spans="1:9" x14ac:dyDescent="0.2">
      <c r="A6" s="6">
        <v>0.28000000000000003</v>
      </c>
      <c r="B6" s="7">
        <v>0.52300000000000002</v>
      </c>
      <c r="C6" s="7">
        <v>1.8678570000000001</v>
      </c>
      <c r="D6" s="7">
        <v>7.0280999999999996E-2</v>
      </c>
      <c r="E6" s="7">
        <v>0.129412</v>
      </c>
      <c r="F6" s="7">
        <v>1.3495E-2</v>
      </c>
      <c r="G6" s="11">
        <v>0.01</v>
      </c>
      <c r="H6" s="11">
        <v>1E-3</v>
      </c>
      <c r="I6">
        <f t="shared" si="0"/>
        <v>-1.2729656758128873</v>
      </c>
    </row>
    <row r="7" spans="1:9" x14ac:dyDescent="0.2">
      <c r="A7" s="6">
        <v>0.45</v>
      </c>
      <c r="B7" s="7">
        <v>0.54500000000000004</v>
      </c>
      <c r="C7" s="7">
        <v>1.211111</v>
      </c>
      <c r="D7" s="7">
        <v>2.9135999999999999E-2</v>
      </c>
      <c r="E7" s="7">
        <v>9.1666999999999998E-2</v>
      </c>
      <c r="F7" s="7">
        <v>1.5972E-2</v>
      </c>
      <c r="G7" s="11">
        <v>0.01</v>
      </c>
      <c r="H7" s="11">
        <v>1E-3</v>
      </c>
      <c r="I7">
        <f t="shared" si="0"/>
        <v>-0.79850769621777162</v>
      </c>
    </row>
    <row r="8" spans="1:9" x14ac:dyDescent="0.2">
      <c r="A8" s="6">
        <v>0.56999999999999995</v>
      </c>
      <c r="B8" s="7">
        <v>0.55600000000000005</v>
      </c>
      <c r="C8" s="7">
        <v>0.97543899999999994</v>
      </c>
      <c r="D8" s="7">
        <v>1.8866999999999998E-2</v>
      </c>
      <c r="E8" s="7">
        <v>7.8947000000000003E-2</v>
      </c>
      <c r="F8" s="7">
        <v>9.4179999999999993E-3</v>
      </c>
      <c r="G8" s="11">
        <v>0.01</v>
      </c>
      <c r="H8" s="11">
        <v>1E-3</v>
      </c>
      <c r="I8">
        <f t="shared" si="0"/>
        <v>-0.56211891815354131</v>
      </c>
    </row>
    <row r="9" spans="1:9" x14ac:dyDescent="0.2">
      <c r="A9" s="6">
        <v>0.76</v>
      </c>
      <c r="B9" s="7">
        <v>0.57099999999999995</v>
      </c>
      <c r="C9" s="7">
        <v>0.75131599999999998</v>
      </c>
      <c r="D9" s="7">
        <v>1.1202E-2</v>
      </c>
      <c r="E9" s="7">
        <v>5.6000000000000001E-2</v>
      </c>
      <c r="F9" s="7">
        <v>6.2399999999999999E-3</v>
      </c>
      <c r="G9" s="11">
        <v>0.01</v>
      </c>
      <c r="H9" s="11">
        <v>1E-3</v>
      </c>
      <c r="I9">
        <f t="shared" si="0"/>
        <v>-0.2744368457017603</v>
      </c>
    </row>
    <row r="10" spans="1:9" x14ac:dyDescent="0.2">
      <c r="A10" s="6">
        <v>1.01</v>
      </c>
      <c r="B10" s="7">
        <v>0.58499999999999996</v>
      </c>
      <c r="C10" s="7">
        <v>0.57920799999999995</v>
      </c>
      <c r="D10" s="7">
        <v>6.7250000000000001E-3</v>
      </c>
      <c r="E10" s="7">
        <v>4.1667000000000003E-2</v>
      </c>
      <c r="F10" s="7">
        <v>3.9350000000000001E-3</v>
      </c>
      <c r="G10" s="11">
        <v>0.01</v>
      </c>
      <c r="H10" s="11">
        <v>1E-3</v>
      </c>
      <c r="I10">
        <f t="shared" si="0"/>
        <v>9.950330853168092E-3</v>
      </c>
    </row>
    <row r="11" spans="1:9" x14ac:dyDescent="0.2">
      <c r="A11" s="6">
        <v>1.37</v>
      </c>
      <c r="B11" s="7">
        <v>0.6</v>
      </c>
      <c r="C11" s="7">
        <v>0.43795600000000001</v>
      </c>
      <c r="D11" s="7">
        <v>3.9269999999999999E-3</v>
      </c>
      <c r="E11" s="7">
        <v>3.2000000000000001E-2</v>
      </c>
      <c r="F11" s="7">
        <v>5.28E-3</v>
      </c>
      <c r="G11" s="11">
        <v>0.01</v>
      </c>
      <c r="H11" s="11">
        <v>1E-3</v>
      </c>
      <c r="I11">
        <f t="shared" si="0"/>
        <v>0.3148107398400336</v>
      </c>
    </row>
    <row r="12" spans="1:9" x14ac:dyDescent="0.2">
      <c r="A12" s="6">
        <v>1.62</v>
      </c>
      <c r="B12" s="7">
        <v>0.60799999999999998</v>
      </c>
      <c r="C12" s="7">
        <v>0.375309</v>
      </c>
      <c r="D12" s="7">
        <v>2.934E-3</v>
      </c>
      <c r="E12" s="7">
        <v>2.6086999999999999E-2</v>
      </c>
      <c r="F12" s="7">
        <v>5.4819999999999999E-3</v>
      </c>
      <c r="G12" s="11">
        <v>0.01</v>
      </c>
      <c r="H12" s="11">
        <v>1E-3</v>
      </c>
      <c r="I12">
        <f t="shared" si="0"/>
        <v>0.48242614924429278</v>
      </c>
    </row>
    <row r="13" spans="1:9" x14ac:dyDescent="0.2">
      <c r="A13" s="6">
        <v>1.85</v>
      </c>
      <c r="B13" s="7">
        <v>0.61399999999999999</v>
      </c>
      <c r="C13" s="7">
        <v>0.33189200000000002</v>
      </c>
      <c r="D13" s="7">
        <v>2.3349999999999998E-3</v>
      </c>
      <c r="E13" s="7">
        <v>2.4242E-2</v>
      </c>
      <c r="F13" s="7">
        <v>3.7650000000000001E-3</v>
      </c>
      <c r="G13" s="11">
        <v>0.01</v>
      </c>
      <c r="H13" s="11">
        <v>1E-3</v>
      </c>
      <c r="I13">
        <f t="shared" si="0"/>
        <v>0.61518563909023349</v>
      </c>
    </row>
    <row r="14" spans="1:9" x14ac:dyDescent="0.2">
      <c r="A14" s="6">
        <v>2.1800000000000002</v>
      </c>
      <c r="B14" s="7">
        <v>0.622</v>
      </c>
      <c r="C14" s="7">
        <v>0.28532099999999999</v>
      </c>
      <c r="D14" s="7">
        <v>1.768E-3</v>
      </c>
      <c r="E14" s="7">
        <v>1.8803E-2</v>
      </c>
      <c r="F14" s="7">
        <v>1.0150000000000001E-3</v>
      </c>
      <c r="G14" s="11">
        <v>0.01</v>
      </c>
      <c r="H14" s="11">
        <v>1E-3</v>
      </c>
      <c r="I14">
        <f t="shared" si="0"/>
        <v>0.77932487680099771</v>
      </c>
    </row>
    <row r="15" spans="1:9" x14ac:dyDescent="0.2">
      <c r="A15" s="6">
        <v>3.35</v>
      </c>
      <c r="B15" s="7">
        <v>0.64400000000000002</v>
      </c>
      <c r="C15" s="7">
        <v>0.19223899999999999</v>
      </c>
      <c r="D15" s="7">
        <v>8.7200000000000005E-4</v>
      </c>
      <c r="E15" s="7">
        <v>1.2329E-2</v>
      </c>
      <c r="F15" s="7">
        <v>1.539E-3</v>
      </c>
      <c r="G15" s="11">
        <v>0.01</v>
      </c>
      <c r="H15" s="11">
        <v>1E-3</v>
      </c>
      <c r="I15">
        <f t="shared" si="0"/>
        <v>1.2089603458369751</v>
      </c>
    </row>
    <row r="16" spans="1:9" x14ac:dyDescent="0.2">
      <c r="A16" s="6">
        <v>4.08</v>
      </c>
      <c r="B16" s="7">
        <v>0.65300000000000002</v>
      </c>
      <c r="C16" s="7">
        <v>0.160049</v>
      </c>
      <c r="D16" s="7">
        <v>6.3699999999999998E-4</v>
      </c>
      <c r="E16" s="7">
        <v>1.0784E-2</v>
      </c>
      <c r="F16" s="7">
        <v>1.0859999999999999E-3</v>
      </c>
      <c r="G16" s="11">
        <v>0.01</v>
      </c>
      <c r="H16" s="11">
        <v>1E-3</v>
      </c>
      <c r="I16">
        <f t="shared" si="0"/>
        <v>1.4060969884160703</v>
      </c>
    </row>
    <row r="17" spans="1:9" x14ac:dyDescent="0.2">
      <c r="A17" s="6">
        <v>5.0999999999999996</v>
      </c>
      <c r="B17" s="7">
        <v>0.66400000000000003</v>
      </c>
      <c r="C17" s="7">
        <v>0.13019600000000001</v>
      </c>
      <c r="D17" s="7">
        <v>4.5100000000000001E-4</v>
      </c>
      <c r="E17" s="7">
        <v>7.6920000000000001E-3</v>
      </c>
      <c r="F17" s="7">
        <v>7.5299999999999998E-4</v>
      </c>
      <c r="G17" s="11">
        <v>0.01</v>
      </c>
      <c r="H17" s="11">
        <v>1E-3</v>
      </c>
      <c r="I17">
        <f t="shared" si="0"/>
        <v>1.62924053973028</v>
      </c>
    </row>
    <row r="18" spans="1:9" x14ac:dyDescent="0.2">
      <c r="A18" s="6">
        <v>6.53</v>
      </c>
      <c r="B18" s="7">
        <v>0.67500000000000004</v>
      </c>
      <c r="C18" s="7">
        <v>0.103369</v>
      </c>
      <c r="D18" s="7">
        <v>3.1100000000000002E-4</v>
      </c>
      <c r="E18" s="7">
        <v>7.4770000000000001E-3</v>
      </c>
      <c r="F18" s="7">
        <v>1.0039999999999999E-3</v>
      </c>
      <c r="G18" s="11">
        <v>0.01</v>
      </c>
      <c r="H18" s="11">
        <v>1E-3</v>
      </c>
      <c r="I18">
        <f t="shared" si="0"/>
        <v>1.8764069432883397</v>
      </c>
    </row>
    <row r="19" spans="1:9" x14ac:dyDescent="0.2">
      <c r="A19" s="6">
        <v>7.6</v>
      </c>
      <c r="B19" s="7">
        <v>0.68300000000000005</v>
      </c>
      <c r="C19" s="7">
        <v>8.9868000000000003E-2</v>
      </c>
      <c r="D19" s="7">
        <v>2.5000000000000001E-4</v>
      </c>
      <c r="E19" s="7">
        <v>5.6449999999999998E-3</v>
      </c>
      <c r="F19" s="7">
        <v>8.52E-4</v>
      </c>
      <c r="G19" s="11">
        <v>0.01</v>
      </c>
      <c r="H19" s="11">
        <v>1E-3</v>
      </c>
      <c r="I19">
        <f t="shared" si="0"/>
        <v>2.0281482472922852</v>
      </c>
    </row>
    <row r="20" spans="1:9" x14ac:dyDescent="0.2">
      <c r="A20" s="6">
        <v>8.84</v>
      </c>
      <c r="B20" s="7">
        <v>0.69</v>
      </c>
      <c r="C20" s="7">
        <v>7.8053999999999998E-2</v>
      </c>
      <c r="D20" s="7">
        <v>2.0100000000000001E-4</v>
      </c>
      <c r="E20" s="7">
        <v>6.4809999999999998E-3</v>
      </c>
      <c r="F20" s="7">
        <v>9.859999999999999E-4</v>
      </c>
      <c r="G20" s="11">
        <v>0.01</v>
      </c>
      <c r="H20" s="11">
        <v>1E-3</v>
      </c>
      <c r="I20">
        <f t="shared" si="0"/>
        <v>2.1792868766495519</v>
      </c>
    </row>
    <row r="21" spans="1:9" x14ac:dyDescent="0.2">
      <c r="A21" s="6">
        <v>9.92</v>
      </c>
      <c r="B21" s="7">
        <v>0.69699999999999995</v>
      </c>
      <c r="C21" s="7">
        <v>7.0262000000000005E-2</v>
      </c>
      <c r="D21" s="7">
        <v>1.7200000000000001E-4</v>
      </c>
      <c r="E21" s="7">
        <v>3.5460000000000001E-3</v>
      </c>
      <c r="F21" s="7">
        <v>3.6699999999999998E-4</v>
      </c>
      <c r="G21" s="11">
        <v>0.01</v>
      </c>
      <c r="H21" s="11">
        <v>1E-3</v>
      </c>
      <c r="I21">
        <f t="shared" si="0"/>
        <v>2.2945529212967815</v>
      </c>
    </row>
    <row r="22" spans="1:9" x14ac:dyDescent="0.2">
      <c r="A22" s="6">
        <v>12.74</v>
      </c>
      <c r="B22" s="7">
        <v>0.70699999999999996</v>
      </c>
      <c r="C22" s="7">
        <v>5.5495000000000003E-2</v>
      </c>
      <c r="D22" s="7">
        <v>1.22E-4</v>
      </c>
      <c r="E22" s="7">
        <v>3.1250000000000002E-3</v>
      </c>
      <c r="F22" s="7">
        <v>6.4499999999999996E-4</v>
      </c>
      <c r="G22" s="11">
        <v>0.01</v>
      </c>
      <c r="H22" s="11">
        <v>1E-3</v>
      </c>
      <c r="I22">
        <f t="shared" si="0"/>
        <v>2.5447466501440172</v>
      </c>
    </row>
    <row r="23" spans="1:9" x14ac:dyDescent="0.2">
      <c r="A23" s="6">
        <v>14.34</v>
      </c>
      <c r="B23" s="7">
        <v>0.71199999999999997</v>
      </c>
      <c r="C23" s="7">
        <v>4.9651000000000001E-2</v>
      </c>
      <c r="D23" s="7">
        <v>1.0399999999999999E-4</v>
      </c>
      <c r="E23" s="7">
        <v>3.1250000000000002E-3</v>
      </c>
      <c r="F23" s="7">
        <v>4.6200000000000001E-4</v>
      </c>
      <c r="G23" s="11">
        <v>0.01</v>
      </c>
      <c r="H23" s="11">
        <v>1E-3</v>
      </c>
      <c r="I23">
        <f t="shared" si="0"/>
        <v>2.6630528351714742</v>
      </c>
    </row>
    <row r="24" spans="1:9" x14ac:dyDescent="0.2">
      <c r="A24" s="6">
        <v>16.37</v>
      </c>
      <c r="B24" s="7">
        <v>0.71899999999999997</v>
      </c>
      <c r="C24" s="7">
        <v>4.3922000000000003E-2</v>
      </c>
      <c r="D24" s="7">
        <v>8.7899999999999995E-5</v>
      </c>
      <c r="E24" s="7">
        <v>3.4480000000000001E-3</v>
      </c>
      <c r="F24" s="7">
        <v>8.8500000000000004E-4</v>
      </c>
      <c r="G24" s="11">
        <v>0.01</v>
      </c>
      <c r="H24" s="11">
        <v>1E-3</v>
      </c>
      <c r="I24">
        <f t="shared" si="0"/>
        <v>2.7954503913830435</v>
      </c>
    </row>
    <row r="25" spans="1:9" x14ac:dyDescent="0.2">
      <c r="A25" s="6">
        <v>17.88</v>
      </c>
      <c r="B25" s="7">
        <v>0.72299999999999998</v>
      </c>
      <c r="C25" s="7">
        <v>4.0436E-2</v>
      </c>
      <c r="D25" s="7">
        <v>7.8499999999999997E-5</v>
      </c>
      <c r="E25" s="7">
        <v>2.6489999999999999E-3</v>
      </c>
      <c r="F25" s="7">
        <v>6.7900000000000002E-4</v>
      </c>
      <c r="G25" s="11">
        <v>0.01</v>
      </c>
      <c r="H25" s="11">
        <v>1E-3</v>
      </c>
      <c r="I25">
        <f t="shared" si="0"/>
        <v>2.8836827697453682</v>
      </c>
    </row>
    <row r="26" spans="1:9" x14ac:dyDescent="0.2">
      <c r="A26" s="6">
        <v>19.47</v>
      </c>
      <c r="B26" s="7">
        <v>0.72699999999999998</v>
      </c>
      <c r="C26" s="7">
        <v>3.7338999999999997E-2</v>
      </c>
      <c r="D26" s="7">
        <v>7.0500000000000006E-5</v>
      </c>
      <c r="E26" s="7">
        <v>2.516E-3</v>
      </c>
      <c r="F26" s="7">
        <v>-4.7999999999999998E-6</v>
      </c>
      <c r="G26" s="11">
        <v>0.01</v>
      </c>
      <c r="H26" s="11">
        <v>1E-3</v>
      </c>
      <c r="I26">
        <f t="shared" si="0"/>
        <v>2.9688748193841081</v>
      </c>
    </row>
    <row r="27" spans="1:9" x14ac:dyDescent="0.2">
      <c r="A27" s="14"/>
      <c r="B27" s="14"/>
      <c r="C27" s="14"/>
      <c r="D27" s="14"/>
      <c r="E27" s="14"/>
      <c r="F27" s="14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1124-1D94-1C4C-98EC-9AFCC06685FC}">
  <dimension ref="A1:I29"/>
  <sheetViews>
    <sheetView workbookViewId="0">
      <selection activeCell="I32" sqref="I1:I32"/>
    </sheetView>
  </sheetViews>
  <sheetFormatPr baseColWidth="10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6</v>
      </c>
      <c r="H1" s="17" t="s">
        <v>7</v>
      </c>
      <c r="I1" s="17" t="s">
        <v>8</v>
      </c>
    </row>
    <row r="2" spans="1:9" x14ac:dyDescent="0.2">
      <c r="A2" s="2">
        <v>1E-3</v>
      </c>
      <c r="B2" s="2">
        <v>0.28599999999999998</v>
      </c>
      <c r="C2" s="2">
        <f>B2/A2</f>
        <v>285.99999999999994</v>
      </c>
      <c r="D2" s="2">
        <f>C2*(([1]Strumenti!$A$2/B2)+([1]Strumenti!$C$2/A2))</f>
        <v>286.99999999999994</v>
      </c>
      <c r="E2" s="2">
        <f t="shared" ref="E2:E29" si="0">(B3-B2)/(A3-A2)</f>
        <v>3.0888888888888895</v>
      </c>
      <c r="F2" s="2">
        <f>E2*(([1]Strumenti!$A$2/(B3-B2))+([1]Strumenti!$C$2/(A3-A2)))</f>
        <v>9.0864197530864221E-2</v>
      </c>
      <c r="G2" s="11">
        <v>1E-3</v>
      </c>
      <c r="H2" s="11">
        <v>1E-3</v>
      </c>
      <c r="I2">
        <f>LN(A2)</f>
        <v>-6.9077552789821368</v>
      </c>
    </row>
    <row r="3" spans="1:9" x14ac:dyDescent="0.2">
      <c r="A3" s="2">
        <v>4.5999999999999999E-2</v>
      </c>
      <c r="B3" s="2">
        <v>0.42499999999999999</v>
      </c>
      <c r="C3" s="2">
        <f t="shared" ref="C3:C29" si="1">B3/A3</f>
        <v>9.2391304347826093</v>
      </c>
      <c r="D3" s="2">
        <f>C3*(([1]Strumenti!$A$2/B3)+([1]Strumenti!$C$2/A3))</f>
        <v>0.22258979206049151</v>
      </c>
      <c r="E3" s="2">
        <f t="shared" si="0"/>
        <v>0.75000000000000078</v>
      </c>
      <c r="F3" s="2">
        <f>E3*(([1]Strumenti!$A$2/(B4-B3))+([1]Strumenti!$C$2/(A4-A3)))</f>
        <v>6.2500000000000028E-2</v>
      </c>
      <c r="G3" s="11">
        <v>1E-3</v>
      </c>
      <c r="H3" s="11">
        <v>1E-3</v>
      </c>
      <c r="I3">
        <f t="shared" ref="I3:I29" si="2">LN(A3)</f>
        <v>-3.0791138824930422</v>
      </c>
    </row>
    <row r="4" spans="1:9" x14ac:dyDescent="0.2">
      <c r="A4" s="2">
        <v>7.3999999999999996E-2</v>
      </c>
      <c r="B4" s="2">
        <v>0.44600000000000001</v>
      </c>
      <c r="C4" s="2">
        <f t="shared" si="1"/>
        <v>6.0270270270270272</v>
      </c>
      <c r="D4" s="2">
        <f>C4*(([1]Strumenti!$A$2/B4)+([1]Strumenti!$C$2/A4))</f>
        <v>9.4959824689554426E-2</v>
      </c>
      <c r="E4" s="2">
        <f t="shared" si="0"/>
        <v>0.40624999999999939</v>
      </c>
      <c r="F4" s="2">
        <f>E4*(([1]Strumenti!$A$2/(B5-B4))+([1]Strumenti!$C$2/(A5-A4)))</f>
        <v>2.1972656249999986E-2</v>
      </c>
      <c r="G4" s="11">
        <v>1E-3</v>
      </c>
      <c r="H4" s="11">
        <v>1E-3</v>
      </c>
      <c r="I4">
        <f t="shared" si="2"/>
        <v>-2.6036901857779675</v>
      </c>
    </row>
    <row r="5" spans="1:9" x14ac:dyDescent="0.2">
      <c r="A5" s="2">
        <v>0.13800000000000001</v>
      </c>
      <c r="B5" s="2">
        <v>0.47199999999999998</v>
      </c>
      <c r="C5" s="2">
        <f t="shared" si="1"/>
        <v>3.4202898550724634</v>
      </c>
      <c r="D5" s="2">
        <f>C5*(([1]Strumenti!$A$2/B5)+([1]Strumenti!$C$2/A5))</f>
        <v>3.2031085906322192E-2</v>
      </c>
      <c r="E5" s="2">
        <f t="shared" si="0"/>
        <v>0.33333333333333409</v>
      </c>
      <c r="F5" s="2">
        <f>E5*(([1]Strumenti!$A$2/(B6-B5))+([1]Strumenti!$C$2/(A6-A5)))</f>
        <v>0.11111111111111134</v>
      </c>
      <c r="G5" s="11">
        <v>1E-3</v>
      </c>
      <c r="H5" s="11">
        <v>1E-3</v>
      </c>
      <c r="I5">
        <f t="shared" si="2"/>
        <v>-1.9805015938249322</v>
      </c>
    </row>
    <row r="6" spans="1:9" x14ac:dyDescent="0.2">
      <c r="A6" s="2">
        <v>0.15</v>
      </c>
      <c r="B6" s="2">
        <v>0.47599999999999998</v>
      </c>
      <c r="C6" s="2">
        <f t="shared" si="1"/>
        <v>3.1733333333333333</v>
      </c>
      <c r="D6" s="2">
        <f>C6*(([1]Strumenti!$A$2/B6)+([1]Strumenti!$C$2/A6))</f>
        <v>2.7822222222222224E-2</v>
      </c>
      <c r="E6" s="2">
        <f t="shared" si="0"/>
        <v>0.26666666666666683</v>
      </c>
      <c r="F6" s="2">
        <f>E6*(([1]Strumenti!$A$2/(B7-B6))+([1]Strumenti!$C$2/(A7-A6)))</f>
        <v>2.8148148148148144E-2</v>
      </c>
      <c r="G6" s="11">
        <v>1E-3</v>
      </c>
      <c r="H6" s="11">
        <v>1E-3</v>
      </c>
      <c r="I6">
        <f t="shared" si="2"/>
        <v>-1.8971199848858813</v>
      </c>
    </row>
    <row r="7" spans="1:9" x14ac:dyDescent="0.2">
      <c r="A7" s="2">
        <v>0.19500000000000001</v>
      </c>
      <c r="B7" s="2">
        <v>0.48799999999999999</v>
      </c>
      <c r="C7" s="2">
        <f t="shared" si="1"/>
        <v>2.5025641025641026</v>
      </c>
      <c r="D7" s="2">
        <f>C7*(([1]Strumenti!$A$2/B7)+([1]Strumenti!$C$2/A7))</f>
        <v>1.7961867192636424E-2</v>
      </c>
      <c r="E7" s="2">
        <f t="shared" si="0"/>
        <v>0.30434782608695687</v>
      </c>
      <c r="F7" s="2">
        <f>E7*(([1]Strumenti!$A$2/(B8-B7))+([1]Strumenti!$C$2/(A8-A7)))</f>
        <v>5.6710775047259014E-2</v>
      </c>
      <c r="G7" s="11">
        <v>1E-3</v>
      </c>
      <c r="H7" s="11">
        <v>1E-3</v>
      </c>
      <c r="I7">
        <f t="shared" si="2"/>
        <v>-1.6347557204183902</v>
      </c>
    </row>
    <row r="8" spans="1:9" x14ac:dyDescent="0.2">
      <c r="A8" s="2">
        <v>0.218</v>
      </c>
      <c r="B8" s="2">
        <v>0.495</v>
      </c>
      <c r="C8" s="2">
        <f t="shared" si="1"/>
        <v>2.2706422018348622</v>
      </c>
      <c r="D8" s="2">
        <f>C8*(([1]Strumenti!$A$2/B8)+([1]Strumenti!$C$2/A8))</f>
        <v>1.5002945879976432E-2</v>
      </c>
      <c r="E8" s="2">
        <f t="shared" si="0"/>
        <v>0.16923076923076943</v>
      </c>
      <c r="F8" s="2">
        <f>E8*(([1]Strumenti!$A$2/(B9-B8))+([1]Strumenti!$C$2/(A9-A8)))</f>
        <v>1.7988165680473379E-2</v>
      </c>
      <c r="G8" s="11">
        <v>1E-3</v>
      </c>
      <c r="H8" s="11">
        <v>1E-3</v>
      </c>
      <c r="I8">
        <f t="shared" si="2"/>
        <v>-1.523260216193048</v>
      </c>
    </row>
    <row r="9" spans="1:9" x14ac:dyDescent="0.2">
      <c r="A9" s="2">
        <v>0.28299999999999997</v>
      </c>
      <c r="B9" s="2">
        <v>0.50600000000000001</v>
      </c>
      <c r="C9" s="2">
        <f t="shared" si="1"/>
        <v>1.7879858657243819</v>
      </c>
      <c r="D9" s="2">
        <f>C9*(([1]Strumenti!$A$2/B9)+([1]Strumenti!$C$2/A9))</f>
        <v>9.8515401615702543E-3</v>
      </c>
      <c r="E9" s="2">
        <f t="shared" si="0"/>
        <v>0.23529411764705882</v>
      </c>
      <c r="F9" s="2">
        <f>E9*(([1]Strumenti!$A$2/(B10-B9))+([1]Strumenti!$C$2/(A10-A9)))</f>
        <v>7.2664359861591629E-2</v>
      </c>
      <c r="G9" s="11">
        <v>1E-3</v>
      </c>
      <c r="H9" s="11">
        <v>1E-3</v>
      </c>
      <c r="I9">
        <f t="shared" si="2"/>
        <v>-1.2623083813388996</v>
      </c>
    </row>
    <row r="10" spans="1:9" x14ac:dyDescent="0.2">
      <c r="A10" s="2">
        <v>0.3</v>
      </c>
      <c r="B10" s="2">
        <v>0.51</v>
      </c>
      <c r="C10" s="2">
        <f t="shared" si="1"/>
        <v>1.7000000000000002</v>
      </c>
      <c r="D10" s="2">
        <f>C10*(([1]Strumenti!$A$2/B10)+([1]Strumenti!$C$2/A10))</f>
        <v>9.0000000000000028E-3</v>
      </c>
      <c r="E10" s="2">
        <f t="shared" si="0"/>
        <v>0.16</v>
      </c>
      <c r="F10" s="2">
        <f>E10*(([1]Strumenti!$A$2/(B11-B10))+([1]Strumenti!$C$2/(A11-A10)))</f>
        <v>4.6399999999999962E-2</v>
      </c>
      <c r="G10" s="11">
        <v>1E-3</v>
      </c>
      <c r="H10" s="11">
        <v>1E-3</v>
      </c>
      <c r="I10">
        <f t="shared" si="2"/>
        <v>-1.2039728043259361</v>
      </c>
    </row>
    <row r="11" spans="1:9" x14ac:dyDescent="0.2">
      <c r="A11" s="2">
        <v>0.32500000000000001</v>
      </c>
      <c r="B11" s="2">
        <v>0.51400000000000001</v>
      </c>
      <c r="C11" s="2">
        <f t="shared" si="1"/>
        <v>1.5815384615384616</v>
      </c>
      <c r="D11" s="2">
        <f>C11*(([1]Strumenti!$A$2/B11)+([1]Strumenti!$C$2/A11))</f>
        <v>7.9431952662721902E-3</v>
      </c>
      <c r="E11" s="2">
        <f t="shared" si="0"/>
        <v>8.1395348837209405E-2</v>
      </c>
      <c r="F11" s="2">
        <f>E11*(([1]Strumenti!$A$2/(B12-B11))+([1]Strumenti!$C$2/(A12-A11)))</f>
        <v>1.2574364521362905E-2</v>
      </c>
      <c r="G11" s="11">
        <v>1E-3</v>
      </c>
      <c r="H11" s="11">
        <v>1E-3</v>
      </c>
      <c r="I11">
        <f t="shared" si="2"/>
        <v>-1.1239300966523995</v>
      </c>
    </row>
    <row r="12" spans="1:9" x14ac:dyDescent="0.2">
      <c r="A12" s="2">
        <v>0.41099999999999998</v>
      </c>
      <c r="B12" s="2">
        <v>0.52100000000000002</v>
      </c>
      <c r="C12" s="2">
        <f t="shared" si="1"/>
        <v>1.2676399026763991</v>
      </c>
      <c r="D12" s="2">
        <f>C12*(([1]Strumenti!$A$2/B12)+([1]Strumenti!$C$2/A12))</f>
        <v>5.5173720259766405E-3</v>
      </c>
      <c r="E12" s="2">
        <f t="shared" si="0"/>
        <v>0.14285714285714285</v>
      </c>
      <c r="F12" s="2">
        <f>E12*(([1]Strumenti!$A$2/(B13-B12))+([1]Strumenti!$C$2/(A13-A12)))</f>
        <v>3.2653061224489764E-2</v>
      </c>
      <c r="G12" s="11">
        <v>1E-3</v>
      </c>
      <c r="H12" s="11">
        <v>1E-3</v>
      </c>
      <c r="I12">
        <f t="shared" si="2"/>
        <v>-0.88916206448590251</v>
      </c>
    </row>
    <row r="13" spans="1:9" x14ac:dyDescent="0.2">
      <c r="A13" s="2">
        <v>0.44600000000000001</v>
      </c>
      <c r="B13" s="2">
        <v>0.52600000000000002</v>
      </c>
      <c r="C13" s="2">
        <f t="shared" si="1"/>
        <v>1.1793721973094171</v>
      </c>
      <c r="D13" s="2">
        <f>C13*(([1]Strumenti!$A$2/B13)+([1]Strumenti!$C$2/A13))</f>
        <v>4.8864847473305316E-3</v>
      </c>
      <c r="E13" s="2">
        <f t="shared" si="0"/>
        <v>0.11111111111111119</v>
      </c>
      <c r="F13" s="2">
        <f>E13*(([1]Strumenti!$A$2/(B14-B13))+([1]Strumenti!$C$2/(A14-A13)))</f>
        <v>1.3717421124828532E-2</v>
      </c>
      <c r="G13" s="11">
        <v>1E-3</v>
      </c>
      <c r="H13" s="11">
        <v>1E-3</v>
      </c>
      <c r="I13">
        <f t="shared" si="2"/>
        <v>-0.80743632696207301</v>
      </c>
    </row>
    <row r="14" spans="1:9" x14ac:dyDescent="0.2">
      <c r="A14" s="2">
        <v>0.52700000000000002</v>
      </c>
      <c r="B14" s="2">
        <v>0.53500000000000003</v>
      </c>
      <c r="C14" s="2">
        <f t="shared" si="1"/>
        <v>1.0151802656546489</v>
      </c>
      <c r="D14" s="2">
        <f>C14*(([1]Strumenti!$A$2/B14)+([1]Strumenti!$C$2/A14))</f>
        <v>3.8238714718304536E-3</v>
      </c>
      <c r="E14" s="2">
        <f t="shared" si="0"/>
        <v>6.526806526806507E-2</v>
      </c>
      <c r="F14" s="2">
        <f>E14*(([1]Strumenti!$A$2/(B15-B14))+([1]Strumenti!$C$2/(A15-A14)))</f>
        <v>2.4831423432822028E-3</v>
      </c>
      <c r="G14" s="11">
        <v>1E-3</v>
      </c>
      <c r="H14" s="11">
        <v>1E-3</v>
      </c>
      <c r="I14">
        <f t="shared" si="2"/>
        <v>-0.64055473044077471</v>
      </c>
    </row>
    <row r="15" spans="1:9" x14ac:dyDescent="0.2">
      <c r="A15" s="2">
        <v>0.95599999999999996</v>
      </c>
      <c r="B15" s="2">
        <v>0.56299999999999994</v>
      </c>
      <c r="C15" s="2">
        <f t="shared" si="1"/>
        <v>0.58891213389121333</v>
      </c>
      <c r="D15" s="2">
        <f>C15*(([1]Strumenti!$A$2/B15)+([1]Strumenti!$C$2/A15))</f>
        <v>1.6620419810577545E-3</v>
      </c>
      <c r="E15" s="2">
        <f t="shared" si="0"/>
        <v>3.9946737683089241E-2</v>
      </c>
      <c r="F15" s="2">
        <f>E15*(([1]Strumenti!$A$2/(B16-B15))+([1]Strumenti!$C$2/(A16-A15)))</f>
        <v>1.3847493178203584E-3</v>
      </c>
      <c r="G15" s="11">
        <v>1E-3</v>
      </c>
      <c r="H15" s="11">
        <v>1E-3</v>
      </c>
      <c r="I15">
        <f t="shared" si="2"/>
        <v>-4.4997365930735805E-2</v>
      </c>
    </row>
    <row r="16" spans="1:9" x14ac:dyDescent="0.2">
      <c r="A16" s="2">
        <v>1.7070000000000001</v>
      </c>
      <c r="B16" s="2">
        <v>0.59299999999999997</v>
      </c>
      <c r="C16" s="2">
        <f t="shared" si="1"/>
        <v>0.34739308728763912</v>
      </c>
      <c r="D16" s="2">
        <f>C16*(([1]Strumenti!$A$2/B16)+([1]Strumenti!$C$2/A16))</f>
        <v>7.8933397029152847E-4</v>
      </c>
      <c r="E16" s="2">
        <f t="shared" si="0"/>
        <v>2.1517553793884509E-2</v>
      </c>
      <c r="F16" s="2">
        <f>E16*(([1]Strumenti!$A$2/(B17-B16))+([1]Strumenti!$C$2/(A17-A16)))</f>
        <v>1.1568715218503792E-3</v>
      </c>
      <c r="G16" s="11">
        <v>1E-3</v>
      </c>
      <c r="H16" s="11">
        <v>1E-3</v>
      </c>
      <c r="I16">
        <f t="shared" si="2"/>
        <v>0.53473744381230359</v>
      </c>
    </row>
    <row r="17" spans="1:9" x14ac:dyDescent="0.2">
      <c r="A17" s="1">
        <v>2.59</v>
      </c>
      <c r="B17" s="1">
        <v>0.61199999999999999</v>
      </c>
      <c r="C17" s="1">
        <f t="shared" si="1"/>
        <v>0.2362934362934363</v>
      </c>
      <c r="D17" s="1">
        <f>C17*(([1]Strumenti!$A$2/B17)+([1]Strumenti!$B$2/A17))</f>
        <v>1.2984302559592136E-3</v>
      </c>
      <c r="E17" s="1">
        <f t="shared" si="0"/>
        <v>1.891891891891893E-2</v>
      </c>
      <c r="F17" s="1">
        <f>E17*(([1]Strumenti!$A$2/(B18-B17))+([1]Strumenti!$B$2/(A18-A17)))</f>
        <v>1.6070124178232286E-3</v>
      </c>
      <c r="G17" s="11">
        <v>0.01</v>
      </c>
      <c r="H17" s="11">
        <v>1E-3</v>
      </c>
      <c r="I17">
        <f t="shared" si="2"/>
        <v>0.95165787571144633</v>
      </c>
    </row>
    <row r="18" spans="1:9" x14ac:dyDescent="0.2">
      <c r="A18" s="2">
        <v>3.33</v>
      </c>
      <c r="B18" s="2">
        <v>0.626</v>
      </c>
      <c r="C18" s="2">
        <f t="shared" si="1"/>
        <v>0.18798798798798799</v>
      </c>
      <c r="D18" s="2">
        <f>C18*(([1]Strumenti!$A$2/B18)+([1]Strumenti!$B$2/A18))</f>
        <v>8.6482879275672072E-4</v>
      </c>
      <c r="E18" s="2">
        <f t="shared" si="0"/>
        <v>1.1304347826086964E-2</v>
      </c>
      <c r="F18" s="2">
        <f>E18*(([1]Strumenti!$A$2/(B19-B18))+([1]Strumenti!$B$2/(A19-A18)))</f>
        <v>9.6786389413988639E-4</v>
      </c>
      <c r="G18" s="11">
        <v>0.01</v>
      </c>
      <c r="H18" s="11">
        <v>1E-3</v>
      </c>
      <c r="I18">
        <f t="shared" si="2"/>
        <v>1.2029723039923526</v>
      </c>
    </row>
    <row r="19" spans="1:9" x14ac:dyDescent="0.2">
      <c r="A19" s="2">
        <v>4.4800000000000004</v>
      </c>
      <c r="B19" s="2">
        <v>0.63900000000000001</v>
      </c>
      <c r="C19" s="2">
        <f t="shared" si="1"/>
        <v>0.14263392857142856</v>
      </c>
      <c r="D19" s="2">
        <f>C19*(([1]Strumenti!$A$2/B19)+([1]Strumenti!$B$2/A19))</f>
        <v>5.4159359056122442E-4</v>
      </c>
      <c r="E19" s="2">
        <f t="shared" si="0"/>
        <v>1.2500000000000018E-2</v>
      </c>
      <c r="F19" s="2">
        <f>E19*(([1]Strumenti!$A$2/(B20-B19))+([1]Strumenti!$B$2/(A20-A19)))</f>
        <v>1.7578125000000011E-3</v>
      </c>
      <c r="G19" s="11">
        <v>0.01</v>
      </c>
      <c r="H19" s="11">
        <v>1E-3</v>
      </c>
      <c r="I19">
        <f t="shared" si="2"/>
        <v>1.4996230464268938</v>
      </c>
    </row>
    <row r="20" spans="1:9" x14ac:dyDescent="0.2">
      <c r="A20" s="2">
        <v>5.12</v>
      </c>
      <c r="B20" s="2">
        <v>0.64700000000000002</v>
      </c>
      <c r="C20" s="2">
        <f t="shared" si="1"/>
        <v>0.12636718750000001</v>
      </c>
      <c r="D20" s="2">
        <f>C20*(([1]Strumenti!$A$2/B20)+([1]Strumenti!$B$2/A20))</f>
        <v>4.4212341308593752E-4</v>
      </c>
      <c r="E20" s="2">
        <f t="shared" si="0"/>
        <v>8.4415584415584496E-3</v>
      </c>
      <c r="F20" s="2">
        <f>E20*(([1]Strumenti!$A$2/(B21-B20))+([1]Strumenti!$B$2/(A21-A20)))</f>
        <v>7.041659639062238E-4</v>
      </c>
      <c r="G20" s="11">
        <v>0.01</v>
      </c>
      <c r="H20" s="11">
        <v>1E-3</v>
      </c>
      <c r="I20">
        <f t="shared" si="2"/>
        <v>1.6331544390514163</v>
      </c>
    </row>
    <row r="21" spans="1:9" x14ac:dyDescent="0.2">
      <c r="A21" s="2">
        <v>6.66</v>
      </c>
      <c r="B21" s="2">
        <v>0.66</v>
      </c>
      <c r="C21" s="2">
        <f t="shared" si="1"/>
        <v>9.90990990990991E-2</v>
      </c>
      <c r="D21" s="2">
        <f>C21*(([1]Strumenti!$A$2/B21)+([1]Strumenti!$B$2/A21))</f>
        <v>2.9894759624489356E-4</v>
      </c>
      <c r="E21" s="2">
        <f t="shared" si="0"/>
        <v>5.4054054054054083E-3</v>
      </c>
      <c r="F21" s="2">
        <f>E21*(([1]Strumenti!$A$2/(B22-B21))+([1]Strumenti!$B$2/(A22-A21)))</f>
        <v>1.4243973703433157E-3</v>
      </c>
      <c r="G21" s="11">
        <v>0.01</v>
      </c>
      <c r="H21" s="11">
        <v>1E-3</v>
      </c>
      <c r="I21">
        <f t="shared" si="2"/>
        <v>1.8961194845522977</v>
      </c>
    </row>
    <row r="22" spans="1:9" x14ac:dyDescent="0.2">
      <c r="A22" s="2">
        <v>7.4</v>
      </c>
      <c r="B22" s="2">
        <v>0.66400000000000003</v>
      </c>
      <c r="C22" s="2">
        <f t="shared" si="1"/>
        <v>8.9729729729729729E-2</v>
      </c>
      <c r="D22" s="2">
        <f>C22*(([1]Strumenti!$A$2/B22)+([1]Strumenti!$B$2/A22))</f>
        <v>2.5639152666179693E-4</v>
      </c>
      <c r="E22" s="2">
        <f t="shared" si="0"/>
        <v>6.4102564102564135E-3</v>
      </c>
      <c r="F22" s="2">
        <f>E22*(([1]Strumenti!$A$2/(B23-B22))+([1]Strumenti!$B$2/(A23-A22)))</f>
        <v>6.8211702827087413E-4</v>
      </c>
      <c r="G22" s="11">
        <v>0.01</v>
      </c>
      <c r="H22" s="11">
        <v>1E-3</v>
      </c>
      <c r="I22">
        <f t="shared" si="2"/>
        <v>2.0014800002101243</v>
      </c>
    </row>
    <row r="23" spans="1:9" x14ac:dyDescent="0.2">
      <c r="A23" s="2">
        <v>8.9600000000000009</v>
      </c>
      <c r="B23" s="2">
        <v>0.67400000000000004</v>
      </c>
      <c r="C23" s="2">
        <f t="shared" si="1"/>
        <v>7.5223214285714282E-2</v>
      </c>
      <c r="D23" s="2">
        <f>C23*(([1]Strumenti!$A$2/B23)+([1]Strumenti!$B$2/A23))</f>
        <v>1.9556162308673465E-4</v>
      </c>
      <c r="E23" s="2">
        <f t="shared" si="0"/>
        <v>4.1958041958042001E-3</v>
      </c>
      <c r="F23" s="2">
        <f>E23*(([1]Strumenti!$A$2/(B24-B23))+([1]Strumenti!$B$2/(A24-A23)))</f>
        <v>7.2864198738324627E-4</v>
      </c>
      <c r="G23" s="11">
        <v>0.01</v>
      </c>
      <c r="H23" s="11">
        <v>1E-3</v>
      </c>
      <c r="I23">
        <f t="shared" si="2"/>
        <v>2.192770226986839</v>
      </c>
    </row>
    <row r="24" spans="1:9" x14ac:dyDescent="0.2">
      <c r="A24" s="2">
        <v>10.39</v>
      </c>
      <c r="B24" s="2">
        <v>0.68</v>
      </c>
      <c r="C24" s="2">
        <f t="shared" si="1"/>
        <v>6.5447545717035607E-2</v>
      </c>
      <c r="D24" s="2">
        <f>C24*(([1]Strumenti!$A$2/B24)+([1]Strumenti!$B$2/A24))</f>
        <v>1.5923729135422098E-4</v>
      </c>
      <c r="E24" s="2">
        <f t="shared" si="0"/>
        <v>4.2424242424242498E-3</v>
      </c>
      <c r="F24" s="2">
        <f>E24*(([1]Strumenti!$A$2/(B25-B24))+([1]Strumenti!$B$2/(A25-A24)))</f>
        <v>6.3177226813590514E-4</v>
      </c>
      <c r="G24" s="11">
        <v>0.01</v>
      </c>
      <c r="H24" s="11">
        <v>1E-3</v>
      </c>
      <c r="I24">
        <f t="shared" si="2"/>
        <v>2.340843805111136</v>
      </c>
    </row>
    <row r="25" spans="1:9" x14ac:dyDescent="0.2">
      <c r="A25" s="2">
        <v>12.04</v>
      </c>
      <c r="B25" s="2">
        <v>0.68700000000000006</v>
      </c>
      <c r="C25" s="2">
        <f t="shared" si="1"/>
        <v>5.7059800664451835E-2</v>
      </c>
      <c r="D25" s="2">
        <f>C25*(([1]Strumenti!$A$2/B25)+([1]Strumenti!$B$2/A25))</f>
        <v>1.3044833942230219E-4</v>
      </c>
      <c r="E25" s="2">
        <f t="shared" si="0"/>
        <v>4.0404040404039866E-3</v>
      </c>
      <c r="F25" s="2">
        <f>E25*(([1]Strumenti!$A$2/(B26-B25))+([1]Strumenti!$B$2/(A26-A25)))</f>
        <v>5.2545658606264632E-4</v>
      </c>
      <c r="G25" s="11">
        <v>0.01</v>
      </c>
      <c r="H25" s="11">
        <v>1E-3</v>
      </c>
      <c r="I25">
        <f t="shared" si="2"/>
        <v>2.4882344398806748</v>
      </c>
    </row>
    <row r="26" spans="1:9" x14ac:dyDescent="0.2">
      <c r="A26" s="2">
        <v>14.02</v>
      </c>
      <c r="B26" s="2">
        <v>0.69499999999999995</v>
      </c>
      <c r="C26" s="2">
        <f t="shared" si="1"/>
        <v>4.9572039942938656E-2</v>
      </c>
      <c r="D26" s="2">
        <f>C26*(([1]Strumenti!$A$2/B26)+([1]Strumenti!$B$2/A26))</f>
        <v>1.0668476458126864E-4</v>
      </c>
      <c r="E26" s="2">
        <f t="shared" si="0"/>
        <v>2.8571428571428597E-3</v>
      </c>
      <c r="F26" s="2">
        <f>E26*(([1]Strumenti!$A$2/(B27-B26))+([1]Strumenti!$B$2/(A27-A26)))</f>
        <v>5.8775510204081636E-4</v>
      </c>
      <c r="G26" s="11">
        <v>0.01</v>
      </c>
      <c r="H26" s="11">
        <v>1E-3</v>
      </c>
      <c r="I26">
        <f t="shared" si="2"/>
        <v>2.6404848816064441</v>
      </c>
    </row>
    <row r="27" spans="1:9" x14ac:dyDescent="0.2">
      <c r="A27" s="3">
        <v>15.77</v>
      </c>
      <c r="B27" s="3">
        <v>0.7</v>
      </c>
      <c r="C27" s="3">
        <f t="shared" si="1"/>
        <v>4.4388078630310718E-2</v>
      </c>
      <c r="D27" s="2">
        <f>C27*(([1]Strumenti!$A$2/B27)+([1]Strumenti!$B$2/A27))</f>
        <v>9.1558705536024548E-5</v>
      </c>
      <c r="E27" s="3">
        <f t="shared" si="0"/>
        <v>3.2258064516129011E-3</v>
      </c>
      <c r="F27" s="2">
        <f>E27*(([1]Strumenti!$A$2/(B28-B27))+([1]Strumenti!$B$2/(A28-A27)))</f>
        <v>8.3246618106139311E-4</v>
      </c>
      <c r="G27" s="11">
        <v>0.01</v>
      </c>
      <c r="H27" s="11">
        <v>1E-3</v>
      </c>
      <c r="I27">
        <f t="shared" si="2"/>
        <v>2.7581094009749472</v>
      </c>
    </row>
    <row r="28" spans="1:9" x14ac:dyDescent="0.2">
      <c r="A28" s="2">
        <v>17.010000000000002</v>
      </c>
      <c r="B28" s="2">
        <v>0.70399999999999996</v>
      </c>
      <c r="C28" s="2">
        <f t="shared" si="1"/>
        <v>4.1387419165196934E-2</v>
      </c>
      <c r="D28" s="2">
        <f>C28*(([1]Strumenti!$A$2/B28)+([1]Strumenti!$B$2/A28))</f>
        <v>8.3120175876071089E-5</v>
      </c>
      <c r="E28" s="2">
        <f t="shared" si="0"/>
        <v>2.4896265560165995E-3</v>
      </c>
      <c r="F28" s="2">
        <f>E28*(([1]Strumenti!$A$2/(B29-B28))+([1]Strumenti!$B$2/(A29-A28)))</f>
        <v>4.2526815998347137E-4</v>
      </c>
      <c r="G28" s="11">
        <v>0.01</v>
      </c>
      <c r="H28" s="11">
        <v>1E-3</v>
      </c>
      <c r="I28">
        <f t="shared" si="2"/>
        <v>2.8338014064077703</v>
      </c>
    </row>
    <row r="29" spans="1:9" x14ac:dyDescent="0.2">
      <c r="A29" s="2">
        <v>19.420000000000002</v>
      </c>
      <c r="B29" s="2">
        <v>0.71</v>
      </c>
      <c r="C29" s="2">
        <f t="shared" si="1"/>
        <v>3.6560247167868175E-2</v>
      </c>
      <c r="D29" s="2">
        <f>C29*(([1]Strumenti!$A$2/B29)+([1]Strumenti!$B$2/A29))</f>
        <v>7.0319385771301841E-5</v>
      </c>
      <c r="E29" s="2">
        <f t="shared" si="0"/>
        <v>3.6560247167868175E-2</v>
      </c>
      <c r="F29" s="2">
        <f>E29*(([1]Strumenti!$A$2/(B30-B29))+([1]Strumenti!$B$2/(A30-A29)))</f>
        <v>-7.0319385771301841E-5</v>
      </c>
      <c r="G29" s="11">
        <v>0.01</v>
      </c>
      <c r="H29" s="11">
        <v>1E-3</v>
      </c>
      <c r="I29">
        <f t="shared" si="2"/>
        <v>2.9663034628631788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82CB-EF38-0947-881C-9B499AB5E3E1}">
  <dimension ref="A1:I32"/>
  <sheetViews>
    <sheetView workbookViewId="0">
      <selection activeCell="E36" sqref="E36"/>
    </sheetView>
  </sheetViews>
  <sheetFormatPr baseColWidth="10" defaultRowHeight="15" x14ac:dyDescent="0.2"/>
  <sheetData>
    <row r="1" spans="1:9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7" t="s">
        <v>6</v>
      </c>
      <c r="H1" s="17" t="s">
        <v>7</v>
      </c>
      <c r="I1" s="17" t="s">
        <v>8</v>
      </c>
    </row>
    <row r="2" spans="1:9" x14ac:dyDescent="0.2">
      <c r="A2" s="6">
        <v>1E-3</v>
      </c>
      <c r="B2" s="7">
        <v>0.25700000000000001</v>
      </c>
      <c r="C2" s="7">
        <v>257</v>
      </c>
      <c r="D2" s="7">
        <v>258</v>
      </c>
      <c r="E2" s="7">
        <v>13.28571</v>
      </c>
      <c r="F2" s="7">
        <v>2.040816</v>
      </c>
      <c r="G2" s="11">
        <v>1E-3</v>
      </c>
      <c r="H2" s="11">
        <v>1E-3</v>
      </c>
      <c r="I2">
        <f>LN(A2)</f>
        <v>-6.9077552789821368</v>
      </c>
    </row>
    <row r="3" spans="1:9" x14ac:dyDescent="0.2">
      <c r="A3" s="6">
        <v>8.0000000000000002E-3</v>
      </c>
      <c r="B3" s="7">
        <v>0.35</v>
      </c>
      <c r="C3" s="7">
        <v>43.75</v>
      </c>
      <c r="D3" s="7">
        <v>5.59375</v>
      </c>
      <c r="E3" s="7">
        <v>2.2083330000000001</v>
      </c>
      <c r="F3" s="7">
        <v>0.13368099999999999</v>
      </c>
      <c r="G3" s="11">
        <v>1E-3</v>
      </c>
      <c r="H3" s="11">
        <v>1E-3</v>
      </c>
      <c r="I3">
        <f t="shared" ref="I3:I29" si="0">LN(A3)</f>
        <v>-4.8283137373023015</v>
      </c>
    </row>
    <row r="4" spans="1:9" x14ac:dyDescent="0.2">
      <c r="A4" s="6">
        <v>3.2000000000000001E-2</v>
      </c>
      <c r="B4" s="7">
        <v>0.40300000000000002</v>
      </c>
      <c r="C4" s="7">
        <v>12.59375</v>
      </c>
      <c r="D4" s="7">
        <v>0.42480499999999999</v>
      </c>
      <c r="E4" s="7">
        <v>1</v>
      </c>
      <c r="F4" s="7">
        <v>7.4074000000000001E-2</v>
      </c>
      <c r="G4" s="11">
        <v>1E-3</v>
      </c>
      <c r="H4" s="11">
        <v>1E-3</v>
      </c>
      <c r="I4">
        <f t="shared" si="0"/>
        <v>-3.4420193761824103</v>
      </c>
    </row>
    <row r="5" spans="1:9" x14ac:dyDescent="0.2">
      <c r="A5" s="6">
        <v>5.8999999999999997E-2</v>
      </c>
      <c r="B5" s="7">
        <v>0.43</v>
      </c>
      <c r="C5" s="7">
        <v>7.2881359999999997</v>
      </c>
      <c r="D5" s="7">
        <v>0.14047699999999999</v>
      </c>
      <c r="E5" s="7">
        <v>0.85714299999999999</v>
      </c>
      <c r="F5" s="7">
        <v>0.26530599999999999</v>
      </c>
      <c r="G5" s="11">
        <v>1E-3</v>
      </c>
      <c r="H5" s="11">
        <v>1E-3</v>
      </c>
      <c r="I5">
        <f t="shared" si="0"/>
        <v>-2.8302178350764176</v>
      </c>
    </row>
    <row r="6" spans="1:9" x14ac:dyDescent="0.2">
      <c r="A6" s="6">
        <v>6.6000000000000003E-2</v>
      </c>
      <c r="B6" s="7">
        <v>0.436</v>
      </c>
      <c r="C6" s="7">
        <v>6.6060610000000004</v>
      </c>
      <c r="D6" s="7">
        <v>0.115243</v>
      </c>
      <c r="E6" s="7">
        <v>0.45454499999999998</v>
      </c>
      <c r="F6" s="7">
        <v>0.13223099999999999</v>
      </c>
      <c r="G6" s="11">
        <v>1E-3</v>
      </c>
      <c r="H6" s="11">
        <v>1E-3</v>
      </c>
      <c r="I6">
        <f t="shared" si="0"/>
        <v>-2.7181005369557116</v>
      </c>
    </row>
    <row r="7" spans="1:9" x14ac:dyDescent="0.2">
      <c r="A7" s="6">
        <v>7.6999999999999999E-2</v>
      </c>
      <c r="B7" s="7">
        <v>0.441</v>
      </c>
      <c r="C7" s="7">
        <v>5.7272730000000003</v>
      </c>
      <c r="D7" s="7">
        <v>8.7367E-2</v>
      </c>
      <c r="E7" s="7">
        <v>0.5</v>
      </c>
      <c r="F7" s="7">
        <v>8.3333000000000004E-2</v>
      </c>
      <c r="G7" s="11">
        <v>1E-3</v>
      </c>
      <c r="H7" s="11">
        <v>1E-3</v>
      </c>
      <c r="I7">
        <f t="shared" si="0"/>
        <v>-2.5639498571284531</v>
      </c>
    </row>
    <row r="8" spans="1:9" x14ac:dyDescent="0.2">
      <c r="A8" s="6">
        <v>9.5000000000000001E-2</v>
      </c>
      <c r="B8" s="7">
        <v>0.45</v>
      </c>
      <c r="C8" s="7">
        <v>4.7368420000000002</v>
      </c>
      <c r="D8" s="7">
        <v>6.0387999999999997E-2</v>
      </c>
      <c r="E8" s="7">
        <v>0.66666700000000001</v>
      </c>
      <c r="F8" s="7">
        <v>0.55555600000000005</v>
      </c>
      <c r="G8" s="11">
        <v>1E-3</v>
      </c>
      <c r="H8" s="11">
        <v>1E-3</v>
      </c>
      <c r="I8">
        <f t="shared" si="0"/>
        <v>-2.353878387381596</v>
      </c>
    </row>
    <row r="9" spans="1:9" x14ac:dyDescent="0.2">
      <c r="A9" s="6">
        <v>9.8000000000000004E-2</v>
      </c>
      <c r="B9" s="7">
        <v>0.45200000000000001</v>
      </c>
      <c r="C9" s="7">
        <v>4.6122449999999997</v>
      </c>
      <c r="D9" s="7">
        <v>5.7267999999999999E-2</v>
      </c>
      <c r="E9" s="7">
        <v>0.37288100000000002</v>
      </c>
      <c r="F9" s="7">
        <v>2.3269000000000001E-2</v>
      </c>
      <c r="G9" s="11">
        <v>1E-3</v>
      </c>
      <c r="H9" s="11">
        <v>1E-3</v>
      </c>
      <c r="I9">
        <f t="shared" si="0"/>
        <v>-2.322787800311565</v>
      </c>
    </row>
    <row r="10" spans="1:9" x14ac:dyDescent="0.2">
      <c r="A10" s="6">
        <v>0.157</v>
      </c>
      <c r="B10" s="7">
        <v>0.47399999999999998</v>
      </c>
      <c r="C10" s="7">
        <v>3.0191080000000001</v>
      </c>
      <c r="D10" s="7">
        <v>2.5599E-2</v>
      </c>
      <c r="E10" s="7">
        <v>0.23333300000000001</v>
      </c>
      <c r="F10" s="7">
        <v>1.3703999999999999E-2</v>
      </c>
      <c r="G10" s="11">
        <v>1E-3</v>
      </c>
      <c r="H10" s="11">
        <v>1E-3</v>
      </c>
      <c r="I10">
        <f t="shared" si="0"/>
        <v>-1.8515094736338289</v>
      </c>
    </row>
    <row r="11" spans="1:9" x14ac:dyDescent="0.2">
      <c r="A11" s="6">
        <v>0.247</v>
      </c>
      <c r="B11" s="7">
        <v>0.495</v>
      </c>
      <c r="C11" s="7">
        <v>2.0040490000000002</v>
      </c>
      <c r="D11" s="7">
        <v>1.2161999999999999E-2</v>
      </c>
      <c r="E11" s="7">
        <v>0.141509</v>
      </c>
      <c r="F11" s="7">
        <v>5.3839999999999999E-3</v>
      </c>
      <c r="G11" s="11">
        <v>1E-3</v>
      </c>
      <c r="H11" s="11">
        <v>1E-3</v>
      </c>
      <c r="I11">
        <f t="shared" si="0"/>
        <v>-1.3983669423541598</v>
      </c>
    </row>
    <row r="12" spans="1:9" x14ac:dyDescent="0.2">
      <c r="A12" s="6">
        <v>0.45900000000000002</v>
      </c>
      <c r="B12" s="7">
        <v>0.52500000000000002</v>
      </c>
      <c r="C12" s="7">
        <v>1.143791</v>
      </c>
      <c r="D12" s="7">
        <v>4.6709999999999998E-3</v>
      </c>
      <c r="E12" s="7">
        <v>8.1632999999999997E-2</v>
      </c>
      <c r="F12" s="7">
        <v>1.1037E-2</v>
      </c>
      <c r="G12" s="11">
        <v>1E-3</v>
      </c>
      <c r="H12" s="11">
        <v>1E-3</v>
      </c>
      <c r="I12">
        <f t="shared" si="0"/>
        <v>-0.77870506892159186</v>
      </c>
    </row>
    <row r="13" spans="1:9" x14ac:dyDescent="0.2">
      <c r="A13" s="6">
        <v>0.55700000000000005</v>
      </c>
      <c r="B13" s="7">
        <v>0.53300000000000003</v>
      </c>
      <c r="C13" s="7">
        <v>0.95691199999999998</v>
      </c>
      <c r="D13" s="7">
        <v>3.5130000000000001E-3</v>
      </c>
      <c r="E13" s="7">
        <v>8.2474000000000006E-2</v>
      </c>
      <c r="F13" s="7">
        <v>1.116E-2</v>
      </c>
      <c r="G13" s="11">
        <v>1E-3</v>
      </c>
      <c r="H13" s="11">
        <v>1E-3</v>
      </c>
      <c r="I13">
        <f t="shared" si="0"/>
        <v>-0.5851900390548529</v>
      </c>
    </row>
    <row r="14" spans="1:9" x14ac:dyDescent="0.2">
      <c r="A14" s="6">
        <v>0.65400000000000003</v>
      </c>
      <c r="B14" s="7">
        <v>0.54100000000000004</v>
      </c>
      <c r="C14" s="7">
        <v>0.82721699999999998</v>
      </c>
      <c r="D14" s="7">
        <v>2.794E-3</v>
      </c>
      <c r="E14" s="7">
        <v>8.7912000000000004E-2</v>
      </c>
      <c r="F14" s="7">
        <v>1.1955E-2</v>
      </c>
      <c r="G14" s="11">
        <v>1E-3</v>
      </c>
      <c r="H14" s="11">
        <v>1E-3</v>
      </c>
      <c r="I14">
        <f t="shared" si="0"/>
        <v>-0.4246479275249383</v>
      </c>
    </row>
    <row r="15" spans="1:9" x14ac:dyDescent="0.2">
      <c r="A15" s="6">
        <v>0.745</v>
      </c>
      <c r="B15" s="7">
        <v>0.54900000000000004</v>
      </c>
      <c r="C15" s="7">
        <v>0.73691300000000004</v>
      </c>
      <c r="D15" s="7">
        <v>2.3310000000000002E-3</v>
      </c>
      <c r="E15" s="7">
        <v>4.9485000000000001E-2</v>
      </c>
      <c r="F15" s="7">
        <v>2.1640000000000001E-3</v>
      </c>
      <c r="G15" s="11">
        <v>1E-3</v>
      </c>
      <c r="H15" s="11">
        <v>1E-3</v>
      </c>
      <c r="I15">
        <f t="shared" si="0"/>
        <v>-0.29437106060257756</v>
      </c>
    </row>
    <row r="16" spans="1:9" x14ac:dyDescent="0.2">
      <c r="A16" s="6">
        <v>1.23</v>
      </c>
      <c r="B16" s="7">
        <v>0.57299999999999995</v>
      </c>
      <c r="C16" s="7">
        <v>0.46585399999999999</v>
      </c>
      <c r="D16" s="7">
        <v>1.1919999999999999E-3</v>
      </c>
      <c r="E16" s="7">
        <v>3.1646000000000001E-2</v>
      </c>
      <c r="F16" s="7">
        <v>2.176E-3</v>
      </c>
      <c r="G16" s="11">
        <v>1E-3</v>
      </c>
      <c r="H16" s="11">
        <v>1E-3</v>
      </c>
      <c r="I16">
        <f t="shared" si="0"/>
        <v>0.20701416938432612</v>
      </c>
    </row>
    <row r="17" spans="1:9" x14ac:dyDescent="0.2">
      <c r="A17" s="8">
        <v>1.704</v>
      </c>
      <c r="B17" s="9">
        <v>0.58799999999999997</v>
      </c>
      <c r="C17" s="9">
        <v>0.34506999999999999</v>
      </c>
      <c r="D17" s="9">
        <v>7.8899999999999999E-4</v>
      </c>
      <c r="E17" s="9">
        <v>2.6110000000000001E-2</v>
      </c>
      <c r="F17" s="9">
        <v>1.34E-3</v>
      </c>
      <c r="G17" s="11">
        <v>1E-3</v>
      </c>
      <c r="H17" s="11">
        <v>1E-3</v>
      </c>
      <c r="I17">
        <f t="shared" si="0"/>
        <v>0.53297842840712395</v>
      </c>
    </row>
    <row r="18" spans="1:9" x14ac:dyDescent="0.2">
      <c r="A18" s="6">
        <v>2.4700000000000002</v>
      </c>
      <c r="B18" s="7">
        <v>0.60799999999999998</v>
      </c>
      <c r="C18" s="7">
        <v>0.24615400000000001</v>
      </c>
      <c r="D18" s="7">
        <v>1.4009999999999999E-3</v>
      </c>
      <c r="E18" s="7">
        <v>1.7142999999999999E-2</v>
      </c>
      <c r="F18" s="7">
        <v>1.673E-3</v>
      </c>
      <c r="G18" s="11">
        <v>0.01</v>
      </c>
      <c r="H18" s="11">
        <v>1E-3</v>
      </c>
      <c r="I18">
        <f t="shared" si="0"/>
        <v>0.90421815063988586</v>
      </c>
    </row>
    <row r="19" spans="1:9" x14ac:dyDescent="0.2">
      <c r="A19" s="6">
        <v>3.17</v>
      </c>
      <c r="B19" s="7">
        <v>0.62</v>
      </c>
      <c r="C19" s="7">
        <v>0.19558400000000001</v>
      </c>
      <c r="D19" s="7">
        <v>9.3199999999999999E-4</v>
      </c>
      <c r="E19" s="7">
        <v>1.3178E-2</v>
      </c>
      <c r="F19" s="7">
        <v>8.7699999999999996E-4</v>
      </c>
      <c r="G19" s="11">
        <v>0.01</v>
      </c>
      <c r="H19" s="11">
        <v>1E-3</v>
      </c>
      <c r="I19">
        <f t="shared" si="0"/>
        <v>1.1537315878891892</v>
      </c>
    </row>
    <row r="20" spans="1:9" x14ac:dyDescent="0.2">
      <c r="A20" s="6">
        <v>4.46</v>
      </c>
      <c r="B20" s="7">
        <v>0.63700000000000001</v>
      </c>
      <c r="C20" s="7">
        <v>0.14282500000000001</v>
      </c>
      <c r="D20" s="7">
        <v>5.44E-4</v>
      </c>
      <c r="E20" s="7">
        <v>0.01</v>
      </c>
      <c r="F20" s="7">
        <v>1.5709999999999999E-3</v>
      </c>
      <c r="G20" s="11">
        <v>0.01</v>
      </c>
      <c r="H20" s="11">
        <v>1E-3</v>
      </c>
      <c r="I20">
        <f t="shared" si="0"/>
        <v>1.4951487660319727</v>
      </c>
    </row>
    <row r="21" spans="1:9" x14ac:dyDescent="0.2">
      <c r="A21" s="6">
        <v>5.16</v>
      </c>
      <c r="B21" s="7">
        <v>0.64400000000000002</v>
      </c>
      <c r="C21" s="7">
        <v>0.124806</v>
      </c>
      <c r="D21" s="7">
        <v>4.3600000000000003E-4</v>
      </c>
      <c r="E21" s="7">
        <v>7.8009999999999998E-3</v>
      </c>
      <c r="F21" s="7">
        <v>7.6499999999999995E-4</v>
      </c>
      <c r="G21" s="11">
        <v>0.01</v>
      </c>
      <c r="H21" s="11">
        <v>1E-3</v>
      </c>
      <c r="I21">
        <f t="shared" si="0"/>
        <v>1.6409365794934714</v>
      </c>
    </row>
    <row r="22" spans="1:9" x14ac:dyDescent="0.2">
      <c r="A22" s="6">
        <v>6.57</v>
      </c>
      <c r="B22" s="7">
        <v>0.65500000000000003</v>
      </c>
      <c r="C22" s="7">
        <v>9.9696000000000007E-2</v>
      </c>
      <c r="D22" s="7">
        <v>3.0400000000000002E-4</v>
      </c>
      <c r="E22" s="7">
        <v>7.0870000000000004E-3</v>
      </c>
      <c r="F22" s="7">
        <v>8.43E-4</v>
      </c>
      <c r="G22" s="11">
        <v>0.01</v>
      </c>
      <c r="H22" s="11">
        <v>1E-3</v>
      </c>
      <c r="I22">
        <f t="shared" si="0"/>
        <v>1.8825138324965192</v>
      </c>
    </row>
    <row r="23" spans="1:9" x14ac:dyDescent="0.2">
      <c r="A23" s="6">
        <v>7.84</v>
      </c>
      <c r="B23" s="7">
        <v>0.66400000000000003</v>
      </c>
      <c r="C23" s="7">
        <v>8.4694000000000005E-2</v>
      </c>
      <c r="D23" s="7">
        <v>2.3599999999999999E-4</v>
      </c>
      <c r="E23" s="7">
        <v>5.2940000000000001E-3</v>
      </c>
      <c r="F23" s="7">
        <v>6.1899999999999998E-4</v>
      </c>
      <c r="G23" s="11">
        <v>0.01</v>
      </c>
      <c r="H23" s="11">
        <v>1E-3</v>
      </c>
      <c r="I23">
        <f t="shared" si="0"/>
        <v>2.0592388343623163</v>
      </c>
    </row>
    <row r="24" spans="1:9" x14ac:dyDescent="0.2">
      <c r="A24" s="6">
        <v>9.5399999999999991</v>
      </c>
      <c r="B24" s="7">
        <v>0.67300000000000004</v>
      </c>
      <c r="C24" s="7">
        <v>7.0544999999999997E-2</v>
      </c>
      <c r="D24" s="7">
        <v>1.7899999999999999E-4</v>
      </c>
      <c r="E24" s="7">
        <v>4.516E-3</v>
      </c>
      <c r="F24" s="7">
        <v>6.7400000000000001E-4</v>
      </c>
      <c r="G24" s="11">
        <v>0.01</v>
      </c>
      <c r="H24" s="11">
        <v>1E-3</v>
      </c>
      <c r="I24">
        <f t="shared" si="0"/>
        <v>2.2554934854601951</v>
      </c>
    </row>
    <row r="25" spans="1:9" x14ac:dyDescent="0.2">
      <c r="A25" s="6">
        <v>11.09</v>
      </c>
      <c r="B25" s="7">
        <v>0.68</v>
      </c>
      <c r="C25" s="7">
        <v>6.1317000000000003E-2</v>
      </c>
      <c r="D25" s="7">
        <v>1.45E-4</v>
      </c>
      <c r="E25" s="7">
        <v>4.3480000000000003E-3</v>
      </c>
      <c r="F25" s="7">
        <v>9.0700000000000004E-4</v>
      </c>
      <c r="G25" s="11">
        <v>0.01</v>
      </c>
      <c r="H25" s="11">
        <v>1E-3</v>
      </c>
      <c r="I25">
        <f t="shared" si="0"/>
        <v>2.4060438013622756</v>
      </c>
    </row>
    <row r="26" spans="1:9" x14ac:dyDescent="0.2">
      <c r="A26" s="6">
        <v>12.24</v>
      </c>
      <c r="B26" s="7">
        <v>0.68500000000000005</v>
      </c>
      <c r="C26" s="7">
        <v>5.5964E-2</v>
      </c>
      <c r="D26" s="7">
        <v>1.27E-4</v>
      </c>
      <c r="E26" s="7">
        <v>3.2729999999999999E-3</v>
      </c>
      <c r="F26" s="7">
        <v>3.7599999999999998E-4</v>
      </c>
      <c r="G26" s="11">
        <v>0.01</v>
      </c>
      <c r="H26" s="11">
        <v>1E-3</v>
      </c>
      <c r="I26">
        <f t="shared" si="0"/>
        <v>2.5047092770841801</v>
      </c>
    </row>
    <row r="27" spans="1:9" x14ac:dyDescent="0.2">
      <c r="A27" s="6">
        <v>14.99</v>
      </c>
      <c r="B27" s="7">
        <v>0.69399999999999995</v>
      </c>
      <c r="C27" s="7">
        <v>4.6297999999999999E-2</v>
      </c>
      <c r="D27" s="7">
        <v>9.7600000000000001E-5</v>
      </c>
      <c r="E27" s="7">
        <v>2.6879999999999999E-3</v>
      </c>
      <c r="F27" s="7">
        <v>5.5199999999999997E-4</v>
      </c>
      <c r="G27" s="11">
        <v>0.01</v>
      </c>
      <c r="H27" s="11">
        <v>1E-3</v>
      </c>
      <c r="I27">
        <f t="shared" si="0"/>
        <v>2.7073833121145063</v>
      </c>
    </row>
    <row r="28" spans="1:9" x14ac:dyDescent="0.2">
      <c r="A28" s="10">
        <v>16.850000000000001</v>
      </c>
      <c r="B28" s="11">
        <v>0.69899999999999995</v>
      </c>
      <c r="C28" s="11">
        <v>4.1484E-2</v>
      </c>
      <c r="D28" s="11">
        <v>8.3999999999999995E-5</v>
      </c>
      <c r="E28" s="11">
        <v>1.923E-3</v>
      </c>
      <c r="F28" s="11">
        <v>6.5300000000000004E-4</v>
      </c>
      <c r="G28" s="11">
        <v>0.01</v>
      </c>
      <c r="H28" s="11">
        <v>1E-3</v>
      </c>
      <c r="I28">
        <f t="shared" si="0"/>
        <v>2.8243506567983707</v>
      </c>
    </row>
    <row r="29" spans="1:9" x14ac:dyDescent="0.2">
      <c r="A29" s="12">
        <v>18.41</v>
      </c>
      <c r="B29" s="13">
        <v>0.70199999999999996</v>
      </c>
      <c r="C29" s="13">
        <v>3.8130999999999998E-2</v>
      </c>
      <c r="D29" s="13">
        <v>7.4999999999999993E-5</v>
      </c>
      <c r="E29" s="13">
        <v>3.604E-3</v>
      </c>
      <c r="F29" s="13">
        <v>9.3300000000000002E-4</v>
      </c>
      <c r="G29" s="11">
        <v>0.01</v>
      </c>
      <c r="H29" s="11">
        <v>1E-3</v>
      </c>
      <c r="I29">
        <f t="shared" si="0"/>
        <v>2.9128939952449864</v>
      </c>
    </row>
    <row r="30" spans="1:9" x14ac:dyDescent="0.2">
      <c r="A30" s="6">
        <v>19.52</v>
      </c>
      <c r="B30" s="7">
        <v>0.70599999999999996</v>
      </c>
      <c r="C30" s="7">
        <v>3.6167999999999999E-2</v>
      </c>
      <c r="D30" s="7">
        <v>6.9800000000000003E-5</v>
      </c>
      <c r="E30" s="7">
        <v>3.6167999999999999E-2</v>
      </c>
      <c r="F30" s="7">
        <v>-6.9999999999999994E-5</v>
      </c>
      <c r="G30" s="11">
        <v>0.01</v>
      </c>
      <c r="H30" s="11">
        <v>1E-3</v>
      </c>
    </row>
    <row r="31" spans="1:9" x14ac:dyDescent="0.2">
      <c r="A31" s="14"/>
      <c r="B31" s="14"/>
      <c r="C31" s="14"/>
      <c r="D31" s="14"/>
      <c r="E31" s="14"/>
      <c r="F31" s="14"/>
    </row>
    <row r="32" spans="1:9" x14ac:dyDescent="0.2">
      <c r="A32" s="14"/>
      <c r="B32" s="14"/>
      <c r="C32" s="14"/>
      <c r="D32" s="14"/>
      <c r="E32" s="14"/>
      <c r="F3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1758-709D-7649-92FB-0B1AB1649BFC}">
  <dimension ref="A1:I36"/>
  <sheetViews>
    <sheetView workbookViewId="0">
      <selection activeCell="J24" sqref="J24"/>
    </sheetView>
  </sheetViews>
  <sheetFormatPr baseColWidth="10" defaultRowHeight="15" x14ac:dyDescent="0.2"/>
  <sheetData>
    <row r="1" spans="1:9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7" t="s">
        <v>6</v>
      </c>
      <c r="H1" s="17" t="s">
        <v>7</v>
      </c>
      <c r="I1" s="17" t="s">
        <v>8</v>
      </c>
    </row>
    <row r="2" spans="1:9" x14ac:dyDescent="0.2">
      <c r="A2" s="6">
        <v>1E-3</v>
      </c>
      <c r="B2" s="7">
        <v>0.245</v>
      </c>
      <c r="C2" s="7">
        <v>245</v>
      </c>
      <c r="D2" s="7">
        <v>246</v>
      </c>
      <c r="E2" s="7">
        <v>17.33333</v>
      </c>
      <c r="F2" s="7">
        <v>6.1111110000000002</v>
      </c>
      <c r="G2" s="11">
        <v>1E-3</v>
      </c>
      <c r="H2" s="11">
        <v>1E-3</v>
      </c>
      <c r="I2">
        <f>LN(A2)</f>
        <v>-6.9077552789821368</v>
      </c>
    </row>
    <row r="3" spans="1:9" x14ac:dyDescent="0.2">
      <c r="A3" s="6">
        <v>4.0000000000000001E-3</v>
      </c>
      <c r="B3" s="7">
        <v>0.29699999999999999</v>
      </c>
      <c r="C3" s="7">
        <v>74.25</v>
      </c>
      <c r="D3" s="7">
        <v>18.8125</v>
      </c>
      <c r="E3" s="7">
        <v>3.6666669999999999</v>
      </c>
      <c r="F3" s="7">
        <v>0.19444400000000001</v>
      </c>
      <c r="G3" s="11">
        <v>1E-3</v>
      </c>
      <c r="H3" s="11">
        <v>1E-3</v>
      </c>
      <c r="I3">
        <f t="shared" ref="I3:I34" si="0">LN(A3)</f>
        <v>-5.521460917862246</v>
      </c>
    </row>
    <row r="4" spans="1:9" x14ac:dyDescent="0.2">
      <c r="A4" s="6">
        <v>2.8000000000000001E-2</v>
      </c>
      <c r="B4" s="7">
        <v>0.38500000000000001</v>
      </c>
      <c r="C4" s="7">
        <v>13.75</v>
      </c>
      <c r="D4" s="7">
        <v>0.52678599999999998</v>
      </c>
      <c r="E4" s="7">
        <v>1.4</v>
      </c>
      <c r="F4" s="7">
        <v>0.12</v>
      </c>
      <c r="G4" s="11">
        <v>1E-3</v>
      </c>
      <c r="H4" s="11">
        <v>1E-3</v>
      </c>
      <c r="I4">
        <f t="shared" si="0"/>
        <v>-3.575550768806933</v>
      </c>
    </row>
    <row r="5" spans="1:9" x14ac:dyDescent="0.2">
      <c r="A5" s="6">
        <v>4.8000000000000001E-2</v>
      </c>
      <c r="B5" s="7">
        <v>0.41299999999999998</v>
      </c>
      <c r="C5" s="7">
        <v>8.6041670000000003</v>
      </c>
      <c r="D5" s="7">
        <v>0.20008699999999999</v>
      </c>
      <c r="E5" s="7">
        <v>0.875</v>
      </c>
      <c r="F5" s="7">
        <v>0.234375</v>
      </c>
      <c r="G5" s="11">
        <v>1E-3</v>
      </c>
      <c r="H5" s="11">
        <v>1E-3</v>
      </c>
      <c r="I5">
        <f t="shared" si="0"/>
        <v>-3.0365542680742461</v>
      </c>
    </row>
    <row r="6" spans="1:9" x14ac:dyDescent="0.2">
      <c r="A6" s="6">
        <v>5.6000000000000001E-2</v>
      </c>
      <c r="B6" s="7">
        <v>0.42</v>
      </c>
      <c r="C6" s="7">
        <v>7.5</v>
      </c>
      <c r="D6" s="7">
        <v>0.151786</v>
      </c>
      <c r="E6" s="7">
        <v>0.90909099999999998</v>
      </c>
      <c r="F6" s="7">
        <v>0.17355400000000001</v>
      </c>
      <c r="G6" s="11">
        <v>1E-3</v>
      </c>
      <c r="H6" s="11">
        <v>1E-3</v>
      </c>
      <c r="I6">
        <f t="shared" si="0"/>
        <v>-2.8824035882469876</v>
      </c>
    </row>
    <row r="7" spans="1:9" x14ac:dyDescent="0.2">
      <c r="A7" s="6">
        <v>6.7000000000000004E-2</v>
      </c>
      <c r="B7" s="7">
        <v>0.43</v>
      </c>
      <c r="C7" s="7">
        <v>6.41791</v>
      </c>
      <c r="D7" s="7">
        <v>0.11071499999999999</v>
      </c>
      <c r="E7" s="7">
        <v>0.71428599999999998</v>
      </c>
      <c r="F7" s="7">
        <v>0.244898</v>
      </c>
      <c r="G7" s="11">
        <v>1E-3</v>
      </c>
      <c r="H7" s="11">
        <v>1E-3</v>
      </c>
      <c r="I7">
        <f t="shared" si="0"/>
        <v>-2.7030626595911711</v>
      </c>
    </row>
    <row r="8" spans="1:9" x14ac:dyDescent="0.2">
      <c r="A8" s="6">
        <v>7.3999999999999996E-2</v>
      </c>
      <c r="B8" s="7">
        <v>0.435</v>
      </c>
      <c r="C8" s="7">
        <v>5.8783779999999997</v>
      </c>
      <c r="D8" s="7">
        <v>9.2951000000000006E-2</v>
      </c>
      <c r="E8" s="7">
        <v>0.54054100000000005</v>
      </c>
      <c r="F8" s="7">
        <v>4.1635999999999999E-2</v>
      </c>
      <c r="G8" s="11">
        <v>1E-3</v>
      </c>
      <c r="H8" s="11">
        <v>1E-3</v>
      </c>
      <c r="I8">
        <f t="shared" si="0"/>
        <v>-2.6036901857779675</v>
      </c>
    </row>
    <row r="9" spans="1:9" x14ac:dyDescent="0.2">
      <c r="A9" s="6">
        <v>0.111</v>
      </c>
      <c r="B9" s="7">
        <v>0.45500000000000002</v>
      </c>
      <c r="C9" s="7">
        <v>4.0990989999999998</v>
      </c>
      <c r="D9" s="7">
        <v>4.5938E-2</v>
      </c>
      <c r="E9" s="7">
        <v>0.34782600000000002</v>
      </c>
      <c r="F9" s="7">
        <v>2.9301000000000001E-2</v>
      </c>
      <c r="G9" s="11">
        <v>1E-3</v>
      </c>
      <c r="H9" s="11">
        <v>1E-3</v>
      </c>
      <c r="I9">
        <f t="shared" si="0"/>
        <v>-2.1982250776698029</v>
      </c>
    </row>
    <row r="10" spans="1:9" x14ac:dyDescent="0.2">
      <c r="A10" s="6">
        <v>0.157</v>
      </c>
      <c r="B10" s="7">
        <v>0.47099999999999997</v>
      </c>
      <c r="C10" s="7">
        <v>3</v>
      </c>
      <c r="D10" s="7">
        <v>2.5478000000000001E-2</v>
      </c>
      <c r="E10" s="7">
        <v>0.33333299999999999</v>
      </c>
      <c r="F10" s="7">
        <v>4.9383000000000003E-2</v>
      </c>
      <c r="G10" s="11">
        <v>1E-3</v>
      </c>
      <c r="H10" s="11">
        <v>1E-3</v>
      </c>
      <c r="I10">
        <f t="shared" si="0"/>
        <v>-1.8515094736338289</v>
      </c>
    </row>
    <row r="11" spans="1:9" x14ac:dyDescent="0.2">
      <c r="A11" s="6">
        <v>0.184</v>
      </c>
      <c r="B11" s="7">
        <v>0.48</v>
      </c>
      <c r="C11" s="7">
        <v>2.6086960000000001</v>
      </c>
      <c r="D11" s="7">
        <v>1.9612000000000001E-2</v>
      </c>
      <c r="E11" s="7">
        <v>0.27027000000000001</v>
      </c>
      <c r="F11" s="7">
        <v>3.4332000000000001E-2</v>
      </c>
      <c r="G11" s="11">
        <v>1E-3</v>
      </c>
      <c r="H11" s="11">
        <v>1E-3</v>
      </c>
      <c r="I11">
        <f t="shared" si="0"/>
        <v>-1.6928195213731514</v>
      </c>
    </row>
    <row r="12" spans="1:9" x14ac:dyDescent="0.2">
      <c r="A12" s="6">
        <v>0.221</v>
      </c>
      <c r="B12" s="7">
        <v>0.49</v>
      </c>
      <c r="C12" s="7">
        <v>2.2171949999999998</v>
      </c>
      <c r="D12" s="7">
        <v>1.4557E-2</v>
      </c>
      <c r="E12" s="7">
        <v>0.157303</v>
      </c>
      <c r="F12" s="7">
        <v>6.502E-3</v>
      </c>
      <c r="G12" s="11">
        <v>1E-3</v>
      </c>
      <c r="H12" s="11">
        <v>1E-3</v>
      </c>
      <c r="I12">
        <f t="shared" si="0"/>
        <v>-1.5095925774643841</v>
      </c>
    </row>
    <row r="13" spans="1:9" x14ac:dyDescent="0.2">
      <c r="A13" s="6">
        <v>0.39900000000000002</v>
      </c>
      <c r="B13" s="7">
        <v>0.51800000000000002</v>
      </c>
      <c r="C13" s="7">
        <v>1.298246</v>
      </c>
      <c r="D13" s="7">
        <v>5.7600000000000004E-3</v>
      </c>
      <c r="E13" s="7">
        <v>0.12328799999999999</v>
      </c>
      <c r="F13" s="7">
        <v>1.5388000000000001E-2</v>
      </c>
      <c r="G13" s="11">
        <v>1E-3</v>
      </c>
      <c r="H13" s="11">
        <v>1E-3</v>
      </c>
      <c r="I13">
        <f t="shared" si="0"/>
        <v>-0.91879386209227354</v>
      </c>
    </row>
    <row r="14" spans="1:9" x14ac:dyDescent="0.2">
      <c r="A14" s="6">
        <v>0.47199999999999998</v>
      </c>
      <c r="B14" s="7">
        <v>0.52700000000000002</v>
      </c>
      <c r="C14" s="7">
        <v>1.116525</v>
      </c>
      <c r="D14" s="7">
        <v>4.4840000000000001E-3</v>
      </c>
      <c r="E14" s="7">
        <v>0.1</v>
      </c>
      <c r="F14" s="7">
        <v>0.11</v>
      </c>
      <c r="G14" s="11">
        <v>1E-3</v>
      </c>
      <c r="H14" s="11">
        <v>1E-3</v>
      </c>
      <c r="I14">
        <f t="shared" si="0"/>
        <v>-0.7507762933965817</v>
      </c>
    </row>
    <row r="15" spans="1:9" x14ac:dyDescent="0.2">
      <c r="A15" s="6">
        <v>0.48199999999999998</v>
      </c>
      <c r="B15" s="7">
        <v>0.52800000000000002</v>
      </c>
      <c r="C15" s="7">
        <v>1.0954360000000001</v>
      </c>
      <c r="D15" s="7">
        <v>4.3470000000000002E-3</v>
      </c>
      <c r="E15" s="7">
        <v>0.2</v>
      </c>
      <c r="F15" s="7">
        <v>0.24</v>
      </c>
      <c r="G15" s="11">
        <v>1E-3</v>
      </c>
      <c r="H15" s="11">
        <v>1E-3</v>
      </c>
      <c r="I15">
        <f t="shared" si="0"/>
        <v>-0.72981116493153675</v>
      </c>
    </row>
    <row r="16" spans="1:9" x14ac:dyDescent="0.2">
      <c r="A16" s="6">
        <v>0.48699999999999999</v>
      </c>
      <c r="B16" s="7">
        <v>0.52900000000000003</v>
      </c>
      <c r="C16" s="7">
        <v>1.0862419999999999</v>
      </c>
      <c r="D16" s="7">
        <v>4.2839999999999996E-3</v>
      </c>
      <c r="E16" s="7">
        <v>9.0909000000000004E-2</v>
      </c>
      <c r="F16" s="7">
        <v>2.4792999999999999E-2</v>
      </c>
      <c r="G16" s="11">
        <v>1E-3</v>
      </c>
      <c r="H16" s="11">
        <v>1E-3</v>
      </c>
      <c r="I16">
        <f t="shared" si="0"/>
        <v>-0.71949115589954726</v>
      </c>
    </row>
    <row r="17" spans="1:9" x14ac:dyDescent="0.2">
      <c r="A17" s="6">
        <v>0.53100000000000003</v>
      </c>
      <c r="B17" s="7">
        <v>0.53300000000000003</v>
      </c>
      <c r="C17" s="7">
        <v>1.0037659999999999</v>
      </c>
      <c r="D17" s="7">
        <v>3.774E-3</v>
      </c>
      <c r="E17" s="7">
        <v>8.3832000000000004E-2</v>
      </c>
      <c r="F17" s="7">
        <v>6.4900000000000001E-3</v>
      </c>
      <c r="G17" s="11">
        <v>1E-3</v>
      </c>
      <c r="H17" s="11">
        <v>1E-3</v>
      </c>
      <c r="I17">
        <f t="shared" si="0"/>
        <v>-0.63299325774019821</v>
      </c>
    </row>
    <row r="18" spans="1:9" x14ac:dyDescent="0.2">
      <c r="A18" s="6">
        <v>0.69799999999999995</v>
      </c>
      <c r="B18" s="7">
        <v>0.54700000000000004</v>
      </c>
      <c r="C18" s="7">
        <v>0.78366800000000003</v>
      </c>
      <c r="D18" s="7">
        <v>2.555E-3</v>
      </c>
      <c r="E18" s="7">
        <v>8.3333000000000004E-2</v>
      </c>
      <c r="F18" s="7">
        <v>3.0093000000000002E-2</v>
      </c>
      <c r="G18" s="11">
        <v>1E-3</v>
      </c>
      <c r="H18" s="11">
        <v>1E-3</v>
      </c>
      <c r="I18">
        <f t="shared" si="0"/>
        <v>-0.35953617621976464</v>
      </c>
    </row>
    <row r="19" spans="1:9" x14ac:dyDescent="0.2">
      <c r="A19" s="6">
        <v>0.73399999999999999</v>
      </c>
      <c r="B19" s="7">
        <v>0.55000000000000004</v>
      </c>
      <c r="C19" s="7">
        <v>0.74931899999999996</v>
      </c>
      <c r="D19" s="7">
        <v>2.3830000000000001E-3</v>
      </c>
      <c r="E19" s="7">
        <v>5.5556000000000001E-2</v>
      </c>
      <c r="F19" s="7">
        <v>2.9320000000000001E-3</v>
      </c>
      <c r="G19" s="11">
        <v>1E-3</v>
      </c>
      <c r="H19" s="11">
        <v>1E-3</v>
      </c>
      <c r="I19">
        <f t="shared" si="0"/>
        <v>-0.30924625036762149</v>
      </c>
    </row>
    <row r="20" spans="1:9" x14ac:dyDescent="0.2">
      <c r="A20" s="6">
        <v>1.0940000000000001</v>
      </c>
      <c r="B20" s="7">
        <v>0.56999999999999995</v>
      </c>
      <c r="C20" s="7">
        <v>0.52102400000000004</v>
      </c>
      <c r="D20" s="7">
        <v>1.39E-3</v>
      </c>
      <c r="E20" s="7">
        <v>4.0936E-2</v>
      </c>
      <c r="F20" s="7">
        <v>3.0439999999999998E-3</v>
      </c>
      <c r="G20" s="11">
        <v>1E-3</v>
      </c>
      <c r="H20" s="11">
        <v>1E-3</v>
      </c>
      <c r="I20">
        <f t="shared" si="0"/>
        <v>8.9840703999789537E-2</v>
      </c>
    </row>
    <row r="21" spans="1:9" x14ac:dyDescent="0.2">
      <c r="A21" s="6">
        <v>1.4359999999999999</v>
      </c>
      <c r="B21" s="7">
        <v>0.58399999999999996</v>
      </c>
      <c r="C21" s="7">
        <v>0.40668500000000002</v>
      </c>
      <c r="D21" s="7">
        <v>9.7999999999999997E-4</v>
      </c>
      <c r="E21" s="7">
        <v>2.7254E-2</v>
      </c>
      <c r="F21" s="7">
        <v>1.077E-3</v>
      </c>
      <c r="G21" s="11">
        <v>1E-3</v>
      </c>
      <c r="H21" s="11">
        <v>1E-3</v>
      </c>
      <c r="I21">
        <f t="shared" si="0"/>
        <v>0.36186147062603241</v>
      </c>
    </row>
    <row r="22" spans="1:9" x14ac:dyDescent="0.2">
      <c r="A22" s="8">
        <v>2.39</v>
      </c>
      <c r="B22" s="9">
        <v>0.61</v>
      </c>
      <c r="C22" s="9">
        <v>0.25523000000000001</v>
      </c>
      <c r="D22" s="9">
        <v>1.4859999999999999E-3</v>
      </c>
      <c r="E22" s="9">
        <v>1.7094000000000002E-2</v>
      </c>
      <c r="F22" s="9">
        <v>1.0009999999999999E-3</v>
      </c>
      <c r="G22" s="11">
        <v>0.01</v>
      </c>
      <c r="H22" s="11">
        <v>1E-3</v>
      </c>
      <c r="I22">
        <f t="shared" si="0"/>
        <v>0.87129336594341933</v>
      </c>
    </row>
    <row r="23" spans="1:9" x14ac:dyDescent="0.2">
      <c r="A23" s="6">
        <v>3.56</v>
      </c>
      <c r="B23" s="7">
        <v>0.63</v>
      </c>
      <c r="C23" s="7">
        <v>0.17696600000000001</v>
      </c>
      <c r="D23" s="7">
        <v>7.7800000000000005E-4</v>
      </c>
      <c r="E23" s="7">
        <v>1.1364000000000001E-2</v>
      </c>
      <c r="F23" s="7">
        <v>1.2650000000000001E-3</v>
      </c>
      <c r="G23" s="11">
        <v>0.01</v>
      </c>
      <c r="H23" s="11">
        <v>1E-3</v>
      </c>
      <c r="I23">
        <f t="shared" si="0"/>
        <v>1.2697605448639391</v>
      </c>
    </row>
    <row r="24" spans="1:9" x14ac:dyDescent="0.2">
      <c r="A24" s="6">
        <v>4.4400000000000004</v>
      </c>
      <c r="B24" s="7">
        <v>0.64</v>
      </c>
      <c r="C24" s="7">
        <v>0.14414399999999999</v>
      </c>
      <c r="D24" s="7">
        <v>5.5000000000000003E-4</v>
      </c>
      <c r="E24" s="7">
        <v>1.0204E-2</v>
      </c>
      <c r="F24" s="7">
        <v>1.1249999999999999E-3</v>
      </c>
      <c r="G24" s="11">
        <v>0.01</v>
      </c>
      <c r="H24" s="11">
        <v>1E-3</v>
      </c>
      <c r="I24">
        <f t="shared" si="0"/>
        <v>1.4906543764441336</v>
      </c>
    </row>
    <row r="25" spans="1:9" x14ac:dyDescent="0.2">
      <c r="A25" s="6">
        <v>5.42</v>
      </c>
      <c r="B25" s="7">
        <v>0.65</v>
      </c>
      <c r="C25" s="7">
        <v>0.119926</v>
      </c>
      <c r="D25" s="7">
        <v>4.06E-4</v>
      </c>
      <c r="E25" s="7">
        <v>7.143E-3</v>
      </c>
      <c r="F25" s="7">
        <v>8.4999999999999995E-4</v>
      </c>
      <c r="G25" s="11">
        <v>0.01</v>
      </c>
      <c r="H25" s="11">
        <v>1E-3</v>
      </c>
      <c r="I25">
        <f t="shared" si="0"/>
        <v>1.6900958154515549</v>
      </c>
    </row>
    <row r="26" spans="1:9" x14ac:dyDescent="0.2">
      <c r="A26" s="6">
        <v>6.68</v>
      </c>
      <c r="B26" s="7">
        <v>0.65900000000000003</v>
      </c>
      <c r="C26" s="7">
        <v>9.8653000000000005E-2</v>
      </c>
      <c r="D26" s="7">
        <v>2.9700000000000001E-4</v>
      </c>
      <c r="E26" s="7">
        <v>7.071E-3</v>
      </c>
      <c r="F26" s="7">
        <v>1.0820000000000001E-3</v>
      </c>
      <c r="G26" s="11">
        <v>0.01</v>
      </c>
      <c r="H26" s="11">
        <v>1E-3</v>
      </c>
      <c r="I26">
        <f t="shared" si="0"/>
        <v>1.8991179875485542</v>
      </c>
    </row>
    <row r="27" spans="1:9" x14ac:dyDescent="0.2">
      <c r="A27" s="6">
        <v>7.67</v>
      </c>
      <c r="B27" s="7">
        <v>0.66600000000000004</v>
      </c>
      <c r="C27" s="7">
        <v>8.6832000000000006E-2</v>
      </c>
      <c r="D27" s="7">
        <v>2.4399999999999999E-4</v>
      </c>
      <c r="E27" s="7">
        <v>5.3439999999999998E-3</v>
      </c>
      <c r="F27" s="7">
        <v>8.0400000000000003E-4</v>
      </c>
      <c r="G27" s="11">
        <v>0.01</v>
      </c>
      <c r="H27" s="11">
        <v>1E-3</v>
      </c>
      <c r="I27">
        <f t="shared" si="0"/>
        <v>2.0373166153791646</v>
      </c>
    </row>
    <row r="28" spans="1:9" x14ac:dyDescent="0.2">
      <c r="A28" s="6">
        <v>8.98</v>
      </c>
      <c r="B28" s="7">
        <v>0.67300000000000004</v>
      </c>
      <c r="C28" s="7">
        <v>7.4943999999999997E-2</v>
      </c>
      <c r="D28" s="7">
        <v>1.95E-4</v>
      </c>
      <c r="E28" s="7">
        <v>5.0359999999999997E-3</v>
      </c>
      <c r="F28" s="7">
        <v>7.5600000000000005E-4</v>
      </c>
      <c r="G28" s="11">
        <v>0.01</v>
      </c>
      <c r="H28" s="11">
        <v>1E-3</v>
      </c>
      <c r="I28">
        <f t="shared" si="0"/>
        <v>2.1949998823141081</v>
      </c>
    </row>
    <row r="29" spans="1:9" x14ac:dyDescent="0.2">
      <c r="A29" s="6">
        <v>10.37</v>
      </c>
      <c r="B29" s="7">
        <v>0.68</v>
      </c>
      <c r="C29" s="7">
        <v>6.5573999999999993E-2</v>
      </c>
      <c r="D29" s="7">
        <v>1.6000000000000001E-4</v>
      </c>
      <c r="E29" s="7">
        <v>5.0309999999999999E-3</v>
      </c>
      <c r="F29" s="7">
        <v>6.6100000000000002E-4</v>
      </c>
      <c r="G29" s="11">
        <v>0.01</v>
      </c>
      <c r="H29" s="11">
        <v>1E-3</v>
      </c>
      <c r="I29">
        <f t="shared" si="0"/>
        <v>2.3389170222414357</v>
      </c>
    </row>
    <row r="30" spans="1:9" x14ac:dyDescent="0.2">
      <c r="A30" s="6">
        <v>11.96</v>
      </c>
      <c r="B30" s="7">
        <v>0.68799999999999994</v>
      </c>
      <c r="C30" s="7">
        <v>5.7525E-2</v>
      </c>
      <c r="D30" s="7">
        <v>1.3200000000000001E-4</v>
      </c>
      <c r="E30" s="7">
        <v>3.065E-3</v>
      </c>
      <c r="F30" s="7">
        <v>3.9500000000000001E-4</v>
      </c>
      <c r="G30" s="11">
        <v>0.01</v>
      </c>
      <c r="H30" s="11">
        <v>1E-3</v>
      </c>
      <c r="I30">
        <f t="shared" si="0"/>
        <v>2.4815677485224859</v>
      </c>
    </row>
    <row r="31" spans="1:9" x14ac:dyDescent="0.2">
      <c r="A31" s="6">
        <v>14.57</v>
      </c>
      <c r="B31" s="7">
        <v>0.69599999999999995</v>
      </c>
      <c r="C31" s="7">
        <v>4.7768999999999999E-2</v>
      </c>
      <c r="D31" s="7">
        <v>1.01E-4</v>
      </c>
      <c r="E31" s="7">
        <v>3.0490000000000001E-3</v>
      </c>
      <c r="F31" s="7">
        <v>6.2799999999999998E-4</v>
      </c>
      <c r="G31" s="11">
        <v>0.01</v>
      </c>
      <c r="H31" s="11">
        <v>1E-3</v>
      </c>
      <c r="I31">
        <f t="shared" si="0"/>
        <v>2.6789646202071133</v>
      </c>
    </row>
    <row r="32" spans="1:9" x14ac:dyDescent="0.2">
      <c r="A32" s="6">
        <v>16.21</v>
      </c>
      <c r="B32" s="7">
        <v>0.70099999999999996</v>
      </c>
      <c r="C32" s="7">
        <v>4.3244999999999999E-2</v>
      </c>
      <c r="D32" s="7">
        <v>8.8399999999999994E-5</v>
      </c>
      <c r="E32" s="7">
        <v>1.887E-3</v>
      </c>
      <c r="F32" s="7">
        <v>6.4099999999999997E-4</v>
      </c>
      <c r="G32" s="11">
        <v>0.01</v>
      </c>
      <c r="H32" s="11">
        <v>1E-3</v>
      </c>
      <c r="I32">
        <f t="shared" si="0"/>
        <v>2.7856283357475848</v>
      </c>
    </row>
    <row r="33" spans="1:9" x14ac:dyDescent="0.2">
      <c r="A33" s="10">
        <v>17.8</v>
      </c>
      <c r="B33" s="11">
        <v>0.70399999999999996</v>
      </c>
      <c r="C33" s="11">
        <v>3.9551000000000003E-2</v>
      </c>
      <c r="D33" s="11">
        <v>7.8399999999999995E-5</v>
      </c>
      <c r="E33" s="11">
        <v>2.7910000000000001E-3</v>
      </c>
      <c r="F33" s="7">
        <v>4.7800000000000002E-4</v>
      </c>
      <c r="G33" s="11">
        <v>0.01</v>
      </c>
      <c r="H33" s="11">
        <v>1E-3</v>
      </c>
      <c r="I33">
        <f t="shared" si="0"/>
        <v>2.8791984572980396</v>
      </c>
    </row>
    <row r="34" spans="1:9" x14ac:dyDescent="0.2">
      <c r="A34" s="12">
        <v>19.95</v>
      </c>
      <c r="B34" s="13">
        <v>0.71</v>
      </c>
      <c r="C34" s="13">
        <v>3.5589000000000003E-2</v>
      </c>
      <c r="D34" s="13">
        <v>6.7999999999999999E-5</v>
      </c>
      <c r="E34" s="13">
        <v>3.5589000000000003E-2</v>
      </c>
      <c r="F34" s="7">
        <v>-6.7999999999999999E-5</v>
      </c>
      <c r="G34" s="11">
        <v>0.01</v>
      </c>
      <c r="H34" s="11">
        <v>1E-3</v>
      </c>
      <c r="I34">
        <f t="shared" si="0"/>
        <v>2.9932291433358724</v>
      </c>
    </row>
    <row r="35" spans="1:9" x14ac:dyDescent="0.2">
      <c r="A35" s="14"/>
      <c r="B35" s="14"/>
      <c r="C35" s="14"/>
      <c r="D35" s="14"/>
      <c r="E35" s="14"/>
      <c r="F35" s="14"/>
    </row>
    <row r="36" spans="1:9" x14ac:dyDescent="0.2">
      <c r="A36" s="14"/>
      <c r="B36" s="14"/>
      <c r="C36" s="14"/>
      <c r="D36" s="14"/>
      <c r="E36" s="14"/>
      <c r="F3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Diodo_1</vt:lpstr>
      <vt:lpstr>Diodo_2</vt:lpstr>
      <vt:lpstr>Diodo_3</vt:lpstr>
      <vt:lpstr>Diodo_4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Brusini</dc:creator>
  <cp:lastModifiedBy>Alessio Brusini</cp:lastModifiedBy>
  <dcterms:created xsi:type="dcterms:W3CDTF">2025-12-19T15:34:16Z</dcterms:created>
  <dcterms:modified xsi:type="dcterms:W3CDTF">2026-01-06T09:33:21Z</dcterms:modified>
</cp:coreProperties>
</file>