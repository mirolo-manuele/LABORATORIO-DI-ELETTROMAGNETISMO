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anue\Documents\UNIVERSITA'\II ANNO\LABORATORIO-DI-ELETTROMAGNETISMO\relazioni\esperienza_5\"/>
    </mc:Choice>
  </mc:AlternateContent>
  <xr:revisionPtr revIDLastSave="0" documentId="13_ncr:1_{0DA5B2FC-6ED8-4726-81EB-8DEE3D1BF7E8}" xr6:coauthVersionLast="47" xr6:coauthVersionMax="47" xr10:uidLastSave="{00000000-0000-0000-0000-000000000000}"/>
  <bookViews>
    <workbookView xWindow="-108" yWindow="-108" windowWidth="23256" windowHeight="12456" activeTab="4" xr2:uid="{066B9EEB-AFF6-4487-A8A2-736BAC9F48BA}"/>
  </bookViews>
  <sheets>
    <sheet name="L1" sheetId="1" r:id="rId1"/>
    <sheet name="Dati_1" sheetId="5" r:id="rId2"/>
    <sheet name="L2" sheetId="4" r:id="rId3"/>
    <sheet name="Dati_2" sheetId="6" r:id="rId4"/>
    <sheet name="Risonanza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" l="1"/>
  <c r="G12" i="3"/>
  <c r="G13" i="3"/>
  <c r="G14" i="3"/>
  <c r="G15" i="3"/>
  <c r="G20" i="3"/>
  <c r="G21" i="3"/>
  <c r="G22" i="3"/>
  <c r="G23" i="3"/>
  <c r="G28" i="3"/>
  <c r="G29" i="3"/>
  <c r="G30" i="3"/>
  <c r="G31" i="3"/>
  <c r="G36" i="3"/>
  <c r="G37" i="3"/>
  <c r="G38" i="3"/>
  <c r="G39" i="3"/>
  <c r="F16" i="3"/>
  <c r="G16" i="3" s="1"/>
  <c r="F17" i="3"/>
  <c r="G17" i="3" s="1"/>
  <c r="E2" i="3"/>
  <c r="F2" i="3" s="1"/>
  <c r="G2" i="3" s="1"/>
  <c r="E3" i="3"/>
  <c r="F3" i="3" s="1"/>
  <c r="G3" i="3" s="1"/>
  <c r="E4" i="3"/>
  <c r="F4" i="3" s="1"/>
  <c r="E5" i="3"/>
  <c r="F5" i="3" s="1"/>
  <c r="G5" i="3" s="1"/>
  <c r="E6" i="3"/>
  <c r="F6" i="3" s="1"/>
  <c r="G6" i="3" s="1"/>
  <c r="E7" i="3"/>
  <c r="F7" i="3" s="1"/>
  <c r="G7" i="3" s="1"/>
  <c r="E8" i="3"/>
  <c r="F8" i="3" s="1"/>
  <c r="G8" i="3" s="1"/>
  <c r="E9" i="3"/>
  <c r="F9" i="3" s="1"/>
  <c r="G9" i="3" s="1"/>
  <c r="E10" i="3"/>
  <c r="F10" i="3" s="1"/>
  <c r="G10" i="3" s="1"/>
  <c r="E11" i="3"/>
  <c r="F11" i="3" s="1"/>
  <c r="G11" i="3" s="1"/>
  <c r="E12" i="3"/>
  <c r="F12" i="3" s="1"/>
  <c r="E13" i="3"/>
  <c r="F13" i="3" s="1"/>
  <c r="E14" i="3"/>
  <c r="F14" i="3" s="1"/>
  <c r="E15" i="3"/>
  <c r="F15" i="3" s="1"/>
  <c r="E16" i="3"/>
  <c r="E17" i="3"/>
  <c r="E18" i="3"/>
  <c r="F18" i="3" s="1"/>
  <c r="G18" i="3" s="1"/>
  <c r="E19" i="3"/>
  <c r="F19" i="3" s="1"/>
  <c r="G19" i="3" s="1"/>
  <c r="E20" i="3"/>
  <c r="F20" i="3" s="1"/>
  <c r="E21" i="3"/>
  <c r="F21" i="3" s="1"/>
  <c r="E22" i="3"/>
  <c r="F22" i="3" s="1"/>
  <c r="E23" i="3"/>
  <c r="F23" i="3" s="1"/>
  <c r="E24" i="3"/>
  <c r="F24" i="3" s="1"/>
  <c r="G24" i="3" s="1"/>
  <c r="E25" i="3"/>
  <c r="F25" i="3" s="1"/>
  <c r="G25" i="3" s="1"/>
  <c r="E26" i="3"/>
  <c r="F26" i="3" s="1"/>
  <c r="G26" i="3" s="1"/>
  <c r="E27" i="3"/>
  <c r="F27" i="3" s="1"/>
  <c r="G27" i="3" s="1"/>
  <c r="E28" i="3"/>
  <c r="F28" i="3" s="1"/>
  <c r="E29" i="3"/>
  <c r="F29" i="3" s="1"/>
  <c r="E30" i="3"/>
  <c r="F30" i="3" s="1"/>
  <c r="E31" i="3"/>
  <c r="F31" i="3" s="1"/>
  <c r="E32" i="3"/>
  <c r="F32" i="3" s="1"/>
  <c r="G32" i="3" s="1"/>
  <c r="E33" i="3"/>
  <c r="F33" i="3" s="1"/>
  <c r="G33" i="3" s="1"/>
  <c r="E34" i="3"/>
  <c r="F34" i="3" s="1"/>
  <c r="G34" i="3" s="1"/>
  <c r="E35" i="3"/>
  <c r="F35" i="3" s="1"/>
  <c r="G35" i="3" s="1"/>
  <c r="E36" i="3"/>
  <c r="F36" i="3" s="1"/>
  <c r="E37" i="3"/>
  <c r="F37" i="3" s="1"/>
  <c r="E38" i="3"/>
  <c r="F38" i="3" s="1"/>
  <c r="E39" i="3"/>
  <c r="F39" i="3" s="1"/>
  <c r="E40" i="3"/>
  <c r="F40" i="3" s="1"/>
  <c r="G40" i="3" s="1"/>
  <c r="E41" i="3"/>
  <c r="F41" i="3" s="1"/>
  <c r="G41" i="3" s="1"/>
  <c r="E42" i="3"/>
  <c r="F42" i="3" s="1"/>
  <c r="G42" i="3" s="1"/>
  <c r="E43" i="3"/>
  <c r="F43" i="3" s="1"/>
  <c r="G43" i="3" s="1"/>
  <c r="X5" i="4"/>
  <c r="W5" i="1"/>
  <c r="T5" i="1" s="1"/>
  <c r="W8" i="4"/>
  <c r="W5" i="4"/>
  <c r="S8" i="1"/>
  <c r="T8" i="4"/>
  <c r="V5" i="1"/>
  <c r="U5" i="4"/>
  <c r="H5" i="1"/>
  <c r="S5" i="1"/>
  <c r="N7" i="1"/>
  <c r="N22" i="1"/>
  <c r="O22" i="1" s="1"/>
  <c r="N5" i="1"/>
  <c r="O5" i="1" s="1"/>
  <c r="N32" i="1"/>
  <c r="O32" i="1" s="1"/>
  <c r="N14" i="1"/>
  <c r="O14" i="1" s="1"/>
  <c r="N25" i="1"/>
  <c r="O25" i="1" s="1"/>
  <c r="N15" i="1"/>
  <c r="O15" i="1" s="1"/>
  <c r="N16" i="1"/>
  <c r="O16" i="1" s="1"/>
  <c r="N31" i="1"/>
  <c r="O31" i="1" s="1"/>
  <c r="N12" i="1"/>
  <c r="O12" i="1" s="1"/>
  <c r="N24" i="1"/>
  <c r="O24" i="1" s="1"/>
  <c r="N13" i="1"/>
  <c r="O13" i="1" s="1"/>
  <c r="N9" i="1"/>
  <c r="O9" i="1" s="1"/>
  <c r="N21" i="1"/>
  <c r="O21" i="1" s="1"/>
  <c r="N8" i="1"/>
  <c r="O8" i="1" s="1"/>
  <c r="N17" i="1"/>
  <c r="O17" i="1" s="1"/>
  <c r="N11" i="1"/>
  <c r="O11" i="1" s="1"/>
  <c r="N28" i="1"/>
  <c r="O28" i="1" s="1"/>
  <c r="N23" i="1"/>
  <c r="O23" i="1" s="1"/>
  <c r="N18" i="1"/>
  <c r="O18" i="1" s="1"/>
  <c r="N10" i="1"/>
  <c r="O10" i="1" s="1"/>
  <c r="N19" i="1"/>
  <c r="O19" i="1" s="1"/>
  <c r="N30" i="1"/>
  <c r="O30" i="1" s="1"/>
  <c r="N27" i="1"/>
  <c r="O27" i="1" s="1"/>
  <c r="N26" i="1"/>
  <c r="O26" i="1" s="1"/>
  <c r="N4" i="1"/>
  <c r="O4" i="1" s="1"/>
  <c r="N20" i="1"/>
  <c r="O20" i="1" s="1"/>
  <c r="N29" i="1"/>
  <c r="O29" i="1" s="1"/>
  <c r="N6" i="1"/>
  <c r="O6" i="1" s="1"/>
  <c r="B19" i="3"/>
  <c r="C17" i="3"/>
  <c r="B17" i="3"/>
  <c r="C25" i="3"/>
  <c r="C24" i="3"/>
  <c r="I5" i="3"/>
  <c r="I2" i="3" s="1"/>
  <c r="B26" i="3"/>
  <c r="B23" i="3"/>
  <c r="B20" i="3"/>
  <c r="B18" i="3"/>
  <c r="C30" i="3"/>
  <c r="C31" i="3"/>
  <c r="C16" i="3"/>
  <c r="C6" i="3"/>
  <c r="C5" i="3"/>
  <c r="C4" i="3"/>
  <c r="C18" i="3"/>
  <c r="C19" i="3"/>
  <c r="C20" i="3"/>
  <c r="C23" i="3"/>
  <c r="C26" i="3"/>
  <c r="C27" i="3"/>
  <c r="C28" i="3"/>
  <c r="C29" i="3"/>
  <c r="C15" i="3"/>
  <c r="C10" i="3"/>
  <c r="C14" i="3"/>
  <c r="C12" i="3"/>
  <c r="C9" i="3"/>
  <c r="C13" i="3"/>
  <c r="C11" i="3"/>
  <c r="C7" i="3"/>
  <c r="C8" i="3"/>
  <c r="C3" i="3"/>
  <c r="C2" i="3"/>
  <c r="C21" i="3"/>
  <c r="C22" i="3"/>
  <c r="O5" i="4"/>
  <c r="O4" i="4"/>
  <c r="O3" i="4"/>
  <c r="O2" i="4"/>
  <c r="P2" i="4" s="1"/>
  <c r="P10" i="4"/>
  <c r="P11" i="4"/>
  <c r="P12" i="4"/>
  <c r="P13" i="4"/>
  <c r="P20" i="4"/>
  <c r="P21" i="4"/>
  <c r="P22" i="4"/>
  <c r="P23" i="4"/>
  <c r="P24" i="4"/>
  <c r="P25" i="4"/>
  <c r="C2" i="4"/>
  <c r="C3" i="4"/>
  <c r="C4" i="4"/>
  <c r="C5" i="4"/>
  <c r="D5" i="4" s="1"/>
  <c r="E5" i="4" s="1"/>
  <c r="C6" i="4"/>
  <c r="D6" i="4" s="1"/>
  <c r="E6" i="4" s="1"/>
  <c r="C7" i="4"/>
  <c r="D7" i="4" s="1"/>
  <c r="E7" i="4" s="1"/>
  <c r="C8" i="4"/>
  <c r="D8" i="4" s="1"/>
  <c r="E8" i="4" s="1"/>
  <c r="C9" i="4"/>
  <c r="D9" i="4" s="1"/>
  <c r="E9" i="4" s="1"/>
  <c r="C10" i="4"/>
  <c r="D10" i="4" s="1"/>
  <c r="E10" i="4" s="1"/>
  <c r="C11" i="4"/>
  <c r="D11" i="4" s="1"/>
  <c r="E11" i="4" s="1"/>
  <c r="C12" i="4"/>
  <c r="D12" i="4" s="1"/>
  <c r="E12" i="4" s="1"/>
  <c r="C13" i="4"/>
  <c r="D13" i="4" s="1"/>
  <c r="E13" i="4" s="1"/>
  <c r="C14" i="4"/>
  <c r="C15" i="4"/>
  <c r="D15" i="4" s="1"/>
  <c r="E15" i="4" s="1"/>
  <c r="C16" i="4"/>
  <c r="D16" i="4" s="1"/>
  <c r="E16" i="4" s="1"/>
  <c r="C17" i="4"/>
  <c r="D17" i="4" s="1"/>
  <c r="E17" i="4" s="1"/>
  <c r="C18" i="4"/>
  <c r="D18" i="4" s="1"/>
  <c r="E18" i="4" s="1"/>
  <c r="C19" i="4"/>
  <c r="D19" i="4" s="1"/>
  <c r="E19" i="4" s="1"/>
  <c r="C20" i="4"/>
  <c r="D20" i="4" s="1"/>
  <c r="E20" i="4" s="1"/>
  <c r="C21" i="4"/>
  <c r="D21" i="4" s="1"/>
  <c r="E21" i="4" s="1"/>
  <c r="C22" i="4"/>
  <c r="D22" i="4" s="1"/>
  <c r="E22" i="4" s="1"/>
  <c r="D4" i="4"/>
  <c r="E4" i="4" s="1"/>
  <c r="P32" i="4"/>
  <c r="P31" i="4"/>
  <c r="P30" i="4"/>
  <c r="P29" i="4"/>
  <c r="P28" i="4"/>
  <c r="P27" i="4"/>
  <c r="P26" i="4"/>
  <c r="P19" i="4"/>
  <c r="P18" i="4"/>
  <c r="P17" i="4"/>
  <c r="P16" i="4"/>
  <c r="P15" i="4"/>
  <c r="P14" i="4"/>
  <c r="D14" i="4"/>
  <c r="E14" i="4" s="1"/>
  <c r="P9" i="4"/>
  <c r="P8" i="4"/>
  <c r="P7" i="4"/>
  <c r="P6" i="4"/>
  <c r="P5" i="4"/>
  <c r="S5" i="4" s="1"/>
  <c r="T5" i="4" s="1"/>
  <c r="H5" i="4"/>
  <c r="I5" i="4" s="1"/>
  <c r="P4" i="4"/>
  <c r="P3" i="4"/>
  <c r="D3" i="4"/>
  <c r="E3" i="4" s="1"/>
  <c r="D2" i="4"/>
  <c r="E2" i="4" s="1"/>
  <c r="G5" i="1"/>
  <c r="A3" i="1"/>
  <c r="N3" i="1" s="1"/>
  <c r="O3" i="1" s="1"/>
  <c r="A2" i="1"/>
  <c r="O7" i="1"/>
  <c r="C2" i="1"/>
  <c r="D2" i="1" s="1"/>
  <c r="C3" i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N2" i="1" l="1"/>
  <c r="O2" i="1" s="1"/>
  <c r="J5" i="3"/>
</calcChain>
</file>

<file path=xl/sharedStrings.xml><?xml version="1.0" encoding="utf-8"?>
<sst xmlns="http://schemas.openxmlformats.org/spreadsheetml/2006/main" count="58" uniqueCount="25">
  <si>
    <t>T</t>
  </si>
  <si>
    <t>V</t>
  </si>
  <si>
    <t>ABS (V)</t>
  </si>
  <si>
    <t>LOG (V)</t>
  </si>
  <si>
    <t>ω</t>
  </si>
  <si>
    <t>R</t>
  </si>
  <si>
    <t>Γ</t>
  </si>
  <si>
    <t>L_Γ</t>
  </si>
  <si>
    <t>L_ω</t>
  </si>
  <si>
    <t>Vmax/sqrt(2)</t>
  </si>
  <si>
    <t>Vmax</t>
  </si>
  <si>
    <t>w0</t>
  </si>
  <si>
    <t>C(nF)</t>
  </si>
  <si>
    <t>L[mH]</t>
  </si>
  <si>
    <t>m</t>
  </si>
  <si>
    <t>Colonna1</t>
  </si>
  <si>
    <t>Spostamento zero</t>
  </si>
  <si>
    <t>Diff. Fase (microsecondi)</t>
  </si>
  <si>
    <t>e_T</t>
  </si>
  <si>
    <t>e_ω</t>
  </si>
  <si>
    <t>e_C</t>
  </si>
  <si>
    <t>e_L</t>
  </si>
  <si>
    <t>ε%</t>
  </si>
  <si>
    <t>Colonna2</t>
  </si>
  <si>
    <t>Colonna3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</si>
</sst>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0" xfId="0" applyFont="1"/>
    <xf numFmtId="0" fontId="0" fillId="2" borderId="0" xfId="0" applyFill="1"/>
    <xf numFmtId="0" fontId="0" fillId="0" borderId="1" xfId="0" applyFill="1" applyBorder="1"/>
    <xf numFmtId="0" fontId="0" fillId="2" borderId="1" xfId="0" applyFill="1" applyBorder="1"/>
    <xf numFmtId="1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Curva esponenziale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'L1'!$C$1</c:f>
              <c:strCache>
                <c:ptCount val="1"/>
                <c:pt idx="0">
                  <c:v>ABS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'L1'!$A$2:$A$31</c:f>
              <c:numCache>
                <c:formatCode>General</c:formatCode>
                <c:ptCount val="30"/>
                <c:pt idx="0">
                  <c:v>8.3199999999999995E-4</c:v>
                </c:pt>
                <c:pt idx="1">
                  <c:v>8.12E-4</c:v>
                </c:pt>
                <c:pt idx="2">
                  <c:v>7.9199999999999995E-4</c:v>
                </c:pt>
                <c:pt idx="3">
                  <c:v>7.6999999999999996E-4</c:v>
                </c:pt>
                <c:pt idx="4">
                  <c:v>7.4600000000000003E-4</c:v>
                </c:pt>
                <c:pt idx="5">
                  <c:v>7.2599999999999997E-4</c:v>
                </c:pt>
                <c:pt idx="6">
                  <c:v>7.0799999999999997E-4</c:v>
                </c:pt>
                <c:pt idx="7">
                  <c:v>6.8599999999999998E-4</c:v>
                </c:pt>
                <c:pt idx="8">
                  <c:v>6.6399999999999999E-4</c:v>
                </c:pt>
                <c:pt idx="9">
                  <c:v>6.4199999999999999E-4</c:v>
                </c:pt>
                <c:pt idx="10">
                  <c:v>6.2399999999999999E-4</c:v>
                </c:pt>
                <c:pt idx="11">
                  <c:v>6.0400000000000004E-4</c:v>
                </c:pt>
                <c:pt idx="12">
                  <c:v>5.8200000000000005E-4</c:v>
                </c:pt>
                <c:pt idx="13">
                  <c:v>5.62E-4</c:v>
                </c:pt>
                <c:pt idx="14">
                  <c:v>5.3799999999999996E-4</c:v>
                </c:pt>
                <c:pt idx="15">
                  <c:v>5.1599999999999997E-4</c:v>
                </c:pt>
                <c:pt idx="16">
                  <c:v>4.9799999999999996E-4</c:v>
                </c:pt>
                <c:pt idx="17">
                  <c:v>4.7600000000000002E-4</c:v>
                </c:pt>
                <c:pt idx="18">
                  <c:v>4.5600000000000003E-4</c:v>
                </c:pt>
                <c:pt idx="19">
                  <c:v>4.4000000000000002E-4</c:v>
                </c:pt>
                <c:pt idx="20">
                  <c:v>4.1599999999999997E-4</c:v>
                </c:pt>
                <c:pt idx="21">
                  <c:v>3.8999999999999999E-4</c:v>
                </c:pt>
                <c:pt idx="22">
                  <c:v>3.7199999999999999E-4</c:v>
                </c:pt>
              </c:numCache>
            </c:numRef>
          </c:xVal>
          <c:yVal>
            <c:numRef>
              <c:f>'L1'!$C$2:$C$31</c:f>
              <c:numCache>
                <c:formatCode>General</c:formatCode>
                <c:ptCount val="30"/>
                <c:pt idx="0">
                  <c:v>35.6</c:v>
                </c:pt>
                <c:pt idx="1">
                  <c:v>28.8</c:v>
                </c:pt>
                <c:pt idx="2">
                  <c:v>21.6</c:v>
                </c:pt>
                <c:pt idx="3">
                  <c:v>19.600000000000001</c:v>
                </c:pt>
                <c:pt idx="4">
                  <c:v>18</c:v>
                </c:pt>
                <c:pt idx="5">
                  <c:v>16.8</c:v>
                </c:pt>
                <c:pt idx="6">
                  <c:v>14.4</c:v>
                </c:pt>
                <c:pt idx="7">
                  <c:v>10.4</c:v>
                </c:pt>
                <c:pt idx="8">
                  <c:v>8.8000000000000007</c:v>
                </c:pt>
                <c:pt idx="9">
                  <c:v>8.4</c:v>
                </c:pt>
                <c:pt idx="10">
                  <c:v>7.6</c:v>
                </c:pt>
                <c:pt idx="11">
                  <c:v>6.8</c:v>
                </c:pt>
                <c:pt idx="12">
                  <c:v>5.2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3.2</c:v>
                </c:pt>
                <c:pt idx="17">
                  <c:v>2.8</c:v>
                </c:pt>
                <c:pt idx="18">
                  <c:v>2</c:v>
                </c:pt>
                <c:pt idx="19">
                  <c:v>1.6</c:v>
                </c:pt>
                <c:pt idx="20">
                  <c:v>1.6</c:v>
                </c:pt>
                <c:pt idx="21">
                  <c:v>1.6</c:v>
                </c:pt>
                <c:pt idx="22">
                  <c:v>1.6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F1-42C1-A581-4AA3DD796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670463"/>
        <c:axId val="585668543"/>
      </c:scatterChart>
      <c:valAx>
        <c:axId val="585670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668543"/>
        <c:crosses val="autoZero"/>
        <c:crossBetween val="midCat"/>
      </c:valAx>
      <c:valAx>
        <c:axId val="58566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670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Sinusoide</a:t>
            </a:r>
            <a:r>
              <a:rPr lang="en-GB" baseline="0"/>
              <a:t> smorzata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'L1'!$B$1</c:f>
              <c:strCache>
                <c:ptCount val="1"/>
                <c:pt idx="0">
                  <c:v>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'L1'!$A$2:$A$32</c:f>
              <c:numCache>
                <c:formatCode>General</c:formatCode>
                <c:ptCount val="31"/>
                <c:pt idx="0">
                  <c:v>8.3199999999999995E-4</c:v>
                </c:pt>
                <c:pt idx="1">
                  <c:v>8.12E-4</c:v>
                </c:pt>
                <c:pt idx="2">
                  <c:v>7.9199999999999995E-4</c:v>
                </c:pt>
                <c:pt idx="3">
                  <c:v>7.6999999999999996E-4</c:v>
                </c:pt>
                <c:pt idx="4">
                  <c:v>7.4600000000000003E-4</c:v>
                </c:pt>
                <c:pt idx="5">
                  <c:v>7.2599999999999997E-4</c:v>
                </c:pt>
                <c:pt idx="6">
                  <c:v>7.0799999999999997E-4</c:v>
                </c:pt>
                <c:pt idx="7">
                  <c:v>6.8599999999999998E-4</c:v>
                </c:pt>
                <c:pt idx="8">
                  <c:v>6.6399999999999999E-4</c:v>
                </c:pt>
                <c:pt idx="9">
                  <c:v>6.4199999999999999E-4</c:v>
                </c:pt>
                <c:pt idx="10">
                  <c:v>6.2399999999999999E-4</c:v>
                </c:pt>
                <c:pt idx="11">
                  <c:v>6.0400000000000004E-4</c:v>
                </c:pt>
                <c:pt idx="12">
                  <c:v>5.8200000000000005E-4</c:v>
                </c:pt>
                <c:pt idx="13">
                  <c:v>5.62E-4</c:v>
                </c:pt>
                <c:pt idx="14">
                  <c:v>5.3799999999999996E-4</c:v>
                </c:pt>
                <c:pt idx="15">
                  <c:v>5.1599999999999997E-4</c:v>
                </c:pt>
                <c:pt idx="16">
                  <c:v>4.9799999999999996E-4</c:v>
                </c:pt>
                <c:pt idx="17">
                  <c:v>4.7600000000000002E-4</c:v>
                </c:pt>
                <c:pt idx="18">
                  <c:v>4.5600000000000003E-4</c:v>
                </c:pt>
                <c:pt idx="19">
                  <c:v>4.4000000000000002E-4</c:v>
                </c:pt>
                <c:pt idx="20">
                  <c:v>4.1599999999999997E-4</c:v>
                </c:pt>
                <c:pt idx="21">
                  <c:v>3.8999999999999999E-4</c:v>
                </c:pt>
                <c:pt idx="22">
                  <c:v>3.7199999999999999E-4</c:v>
                </c:pt>
              </c:numCache>
            </c:numRef>
          </c:xVal>
          <c:yVal>
            <c:numRef>
              <c:f>'L1'!$B$2:$B$32</c:f>
              <c:numCache>
                <c:formatCode>General</c:formatCode>
                <c:ptCount val="31"/>
                <c:pt idx="0">
                  <c:v>-35.6</c:v>
                </c:pt>
                <c:pt idx="1">
                  <c:v>28.8</c:v>
                </c:pt>
                <c:pt idx="2">
                  <c:v>-21.6</c:v>
                </c:pt>
                <c:pt idx="3">
                  <c:v>19.600000000000001</c:v>
                </c:pt>
                <c:pt idx="4">
                  <c:v>-18</c:v>
                </c:pt>
                <c:pt idx="5">
                  <c:v>16.8</c:v>
                </c:pt>
                <c:pt idx="6">
                  <c:v>-14.4</c:v>
                </c:pt>
                <c:pt idx="7">
                  <c:v>10.4</c:v>
                </c:pt>
                <c:pt idx="8">
                  <c:v>-8.8000000000000007</c:v>
                </c:pt>
                <c:pt idx="9">
                  <c:v>8.4</c:v>
                </c:pt>
                <c:pt idx="10">
                  <c:v>-7.6</c:v>
                </c:pt>
                <c:pt idx="11">
                  <c:v>6.8</c:v>
                </c:pt>
                <c:pt idx="12">
                  <c:v>-5.2</c:v>
                </c:pt>
                <c:pt idx="13">
                  <c:v>4</c:v>
                </c:pt>
                <c:pt idx="14">
                  <c:v>-4</c:v>
                </c:pt>
                <c:pt idx="15">
                  <c:v>4</c:v>
                </c:pt>
                <c:pt idx="16">
                  <c:v>-3.2</c:v>
                </c:pt>
                <c:pt idx="17">
                  <c:v>2.8</c:v>
                </c:pt>
                <c:pt idx="18">
                  <c:v>-2</c:v>
                </c:pt>
                <c:pt idx="19">
                  <c:v>1.6</c:v>
                </c:pt>
                <c:pt idx="20">
                  <c:v>-1.6</c:v>
                </c:pt>
                <c:pt idx="21">
                  <c:v>1.6</c:v>
                </c:pt>
                <c:pt idx="22">
                  <c:v>-1.6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1F-4F8C-99D6-E207EFFC5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3806175"/>
        <c:axId val="2033804735"/>
      </c:scatterChart>
      <c:valAx>
        <c:axId val="2033806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804735"/>
        <c:crosses val="autoZero"/>
        <c:crossBetween val="midCat"/>
      </c:valAx>
      <c:valAx>
        <c:axId val="203380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806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Retta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'L1'!$D$1</c:f>
              <c:strCache>
                <c:ptCount val="1"/>
                <c:pt idx="0">
                  <c:v>LOG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4591266404199475"/>
                  <c:y val="-0.212583479148439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'L1'!$A$2:$A$32</c:f>
              <c:numCache>
                <c:formatCode>General</c:formatCode>
                <c:ptCount val="31"/>
                <c:pt idx="0">
                  <c:v>8.3199999999999995E-4</c:v>
                </c:pt>
                <c:pt idx="1">
                  <c:v>8.12E-4</c:v>
                </c:pt>
                <c:pt idx="2">
                  <c:v>7.9199999999999995E-4</c:v>
                </c:pt>
                <c:pt idx="3">
                  <c:v>7.6999999999999996E-4</c:v>
                </c:pt>
                <c:pt idx="4">
                  <c:v>7.4600000000000003E-4</c:v>
                </c:pt>
                <c:pt idx="5">
                  <c:v>7.2599999999999997E-4</c:v>
                </c:pt>
                <c:pt idx="6">
                  <c:v>7.0799999999999997E-4</c:v>
                </c:pt>
                <c:pt idx="7">
                  <c:v>6.8599999999999998E-4</c:v>
                </c:pt>
                <c:pt idx="8">
                  <c:v>6.6399999999999999E-4</c:v>
                </c:pt>
                <c:pt idx="9">
                  <c:v>6.4199999999999999E-4</c:v>
                </c:pt>
                <c:pt idx="10">
                  <c:v>6.2399999999999999E-4</c:v>
                </c:pt>
                <c:pt idx="11">
                  <c:v>6.0400000000000004E-4</c:v>
                </c:pt>
                <c:pt idx="12">
                  <c:v>5.8200000000000005E-4</c:v>
                </c:pt>
                <c:pt idx="13">
                  <c:v>5.62E-4</c:v>
                </c:pt>
                <c:pt idx="14">
                  <c:v>5.3799999999999996E-4</c:v>
                </c:pt>
                <c:pt idx="15">
                  <c:v>5.1599999999999997E-4</c:v>
                </c:pt>
                <c:pt idx="16">
                  <c:v>4.9799999999999996E-4</c:v>
                </c:pt>
                <c:pt idx="17">
                  <c:v>4.7600000000000002E-4</c:v>
                </c:pt>
                <c:pt idx="18">
                  <c:v>4.5600000000000003E-4</c:v>
                </c:pt>
                <c:pt idx="19">
                  <c:v>4.4000000000000002E-4</c:v>
                </c:pt>
                <c:pt idx="20">
                  <c:v>4.1599999999999997E-4</c:v>
                </c:pt>
                <c:pt idx="21">
                  <c:v>3.8999999999999999E-4</c:v>
                </c:pt>
                <c:pt idx="22">
                  <c:v>3.7199999999999999E-4</c:v>
                </c:pt>
              </c:numCache>
            </c:numRef>
          </c:xVal>
          <c:yVal>
            <c:numRef>
              <c:f>'L1'!$D$2:$D$32</c:f>
              <c:numCache>
                <c:formatCode>General</c:formatCode>
                <c:ptCount val="31"/>
                <c:pt idx="0">
                  <c:v>1.5514499979728751</c:v>
                </c:pt>
                <c:pt idx="1">
                  <c:v>1.4593924877592308</c:v>
                </c:pt>
                <c:pt idx="2">
                  <c:v>1.3344537511509309</c:v>
                </c:pt>
                <c:pt idx="3">
                  <c:v>1.2922560713564761</c:v>
                </c:pt>
                <c:pt idx="4">
                  <c:v>1.255272505103306</c:v>
                </c:pt>
                <c:pt idx="5">
                  <c:v>1.2253092817258628</c:v>
                </c:pt>
                <c:pt idx="6">
                  <c:v>1.1583624920952498</c:v>
                </c:pt>
                <c:pt idx="7">
                  <c:v>1.0170333392987803</c:v>
                </c:pt>
                <c:pt idx="8">
                  <c:v>0.94448267215016868</c:v>
                </c:pt>
                <c:pt idx="9">
                  <c:v>0.9242792860618817</c:v>
                </c:pt>
                <c:pt idx="10">
                  <c:v>0.88081359228079137</c:v>
                </c:pt>
                <c:pt idx="11">
                  <c:v>0.83250891270623628</c:v>
                </c:pt>
                <c:pt idx="12">
                  <c:v>0.71600334363479923</c:v>
                </c:pt>
                <c:pt idx="13">
                  <c:v>0.6020599913279624</c:v>
                </c:pt>
                <c:pt idx="14">
                  <c:v>0.6020599913279624</c:v>
                </c:pt>
                <c:pt idx="15">
                  <c:v>0.6020599913279624</c:v>
                </c:pt>
                <c:pt idx="16">
                  <c:v>0.50514997831990605</c:v>
                </c:pt>
                <c:pt idx="17">
                  <c:v>0.44715803134221921</c:v>
                </c:pt>
                <c:pt idx="18">
                  <c:v>0.3010299956639812</c:v>
                </c:pt>
                <c:pt idx="19">
                  <c:v>0.20411998265592479</c:v>
                </c:pt>
                <c:pt idx="20">
                  <c:v>0.20411998265592479</c:v>
                </c:pt>
                <c:pt idx="21">
                  <c:v>0.20411998265592479</c:v>
                </c:pt>
                <c:pt idx="22">
                  <c:v>0.20411998265592479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F4-41EB-8339-CD3A5F4B6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1030783"/>
        <c:axId val="2091022143"/>
      </c:scatterChart>
      <c:valAx>
        <c:axId val="2091030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1022143"/>
        <c:crosses val="autoZero"/>
        <c:crossBetween val="midCat"/>
      </c:valAx>
      <c:valAx>
        <c:axId val="209102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1030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Curva esponenziale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'L2'!$D$1</c:f>
              <c:strCache>
                <c:ptCount val="1"/>
                <c:pt idx="0">
                  <c:v>ABS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'L2'!$A$2:$A$31</c:f>
              <c:numCache>
                <c:formatCode>General</c:formatCode>
                <c:ptCount val="30"/>
                <c:pt idx="0">
                  <c:v>8.8199999999999997E-4</c:v>
                </c:pt>
                <c:pt idx="1">
                  <c:v>8.5800000000000004E-4</c:v>
                </c:pt>
                <c:pt idx="2">
                  <c:v>8.34E-4</c:v>
                </c:pt>
                <c:pt idx="3">
                  <c:v>8.12E-4</c:v>
                </c:pt>
                <c:pt idx="4">
                  <c:v>7.8799999999999996E-4</c:v>
                </c:pt>
                <c:pt idx="5">
                  <c:v>7.6599999999999997E-4</c:v>
                </c:pt>
                <c:pt idx="6">
                  <c:v>7.4200000000000004E-4</c:v>
                </c:pt>
                <c:pt idx="7">
                  <c:v>7.1599999999999995E-4</c:v>
                </c:pt>
                <c:pt idx="8">
                  <c:v>6.96E-4</c:v>
                </c:pt>
                <c:pt idx="9">
                  <c:v>6.7199999999999996E-4</c:v>
                </c:pt>
                <c:pt idx="10">
                  <c:v>6.4800000000000003E-4</c:v>
                </c:pt>
                <c:pt idx="11">
                  <c:v>6.2600000000000004E-4</c:v>
                </c:pt>
                <c:pt idx="12">
                  <c:v>6.0400000000000004E-4</c:v>
                </c:pt>
                <c:pt idx="13">
                  <c:v>5.7799999999999995E-4</c:v>
                </c:pt>
                <c:pt idx="14">
                  <c:v>5.5599999999999996E-4</c:v>
                </c:pt>
                <c:pt idx="15">
                  <c:v>5.2800000000000004E-4</c:v>
                </c:pt>
                <c:pt idx="16">
                  <c:v>5.0600000000000005E-4</c:v>
                </c:pt>
                <c:pt idx="17">
                  <c:v>4.84E-4</c:v>
                </c:pt>
                <c:pt idx="18">
                  <c:v>4.5800000000000002E-4</c:v>
                </c:pt>
                <c:pt idx="19">
                  <c:v>4.3600000000000003E-4</c:v>
                </c:pt>
                <c:pt idx="20">
                  <c:v>4.1199999999999999E-4</c:v>
                </c:pt>
              </c:numCache>
            </c:numRef>
          </c:xVal>
          <c:yVal>
            <c:numRef>
              <c:f>'L2'!$D$2:$D$31</c:f>
              <c:numCache>
                <c:formatCode>General</c:formatCode>
                <c:ptCount val="30"/>
                <c:pt idx="0">
                  <c:v>202</c:v>
                </c:pt>
                <c:pt idx="1">
                  <c:v>154</c:v>
                </c:pt>
                <c:pt idx="2">
                  <c:v>122</c:v>
                </c:pt>
                <c:pt idx="3">
                  <c:v>106</c:v>
                </c:pt>
                <c:pt idx="4">
                  <c:v>92</c:v>
                </c:pt>
                <c:pt idx="5">
                  <c:v>68</c:v>
                </c:pt>
                <c:pt idx="6">
                  <c:v>56</c:v>
                </c:pt>
                <c:pt idx="7">
                  <c:v>50</c:v>
                </c:pt>
                <c:pt idx="8">
                  <c:v>40</c:v>
                </c:pt>
                <c:pt idx="9">
                  <c:v>28</c:v>
                </c:pt>
                <c:pt idx="10">
                  <c:v>26</c:v>
                </c:pt>
                <c:pt idx="11">
                  <c:v>24</c:v>
                </c:pt>
                <c:pt idx="12">
                  <c:v>18</c:v>
                </c:pt>
                <c:pt idx="13">
                  <c:v>14</c:v>
                </c:pt>
                <c:pt idx="14">
                  <c:v>10</c:v>
                </c:pt>
                <c:pt idx="15">
                  <c:v>12</c:v>
                </c:pt>
                <c:pt idx="16">
                  <c:v>8</c:v>
                </c:pt>
                <c:pt idx="17">
                  <c:v>6</c:v>
                </c:pt>
                <c:pt idx="18">
                  <c:v>8</c:v>
                </c:pt>
                <c:pt idx="19">
                  <c:v>6</c:v>
                </c:pt>
                <c:pt idx="20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54-4A71-B71F-3490FF759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670463"/>
        <c:axId val="585668543"/>
      </c:scatterChart>
      <c:valAx>
        <c:axId val="585670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668543"/>
        <c:crosses val="autoZero"/>
        <c:crossBetween val="midCat"/>
      </c:valAx>
      <c:valAx>
        <c:axId val="58566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670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Sinusoide</a:t>
            </a:r>
            <a:r>
              <a:rPr lang="en-GB" baseline="0"/>
              <a:t> smorzata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'L2'!$C$1</c:f>
              <c:strCache>
                <c:ptCount val="1"/>
                <c:pt idx="0">
                  <c:v>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'L2'!$A$2:$A$24</c:f>
              <c:numCache>
                <c:formatCode>General</c:formatCode>
                <c:ptCount val="23"/>
                <c:pt idx="0">
                  <c:v>8.8199999999999997E-4</c:v>
                </c:pt>
                <c:pt idx="1">
                  <c:v>8.5800000000000004E-4</c:v>
                </c:pt>
                <c:pt idx="2">
                  <c:v>8.34E-4</c:v>
                </c:pt>
                <c:pt idx="3">
                  <c:v>8.12E-4</c:v>
                </c:pt>
                <c:pt idx="4">
                  <c:v>7.8799999999999996E-4</c:v>
                </c:pt>
                <c:pt idx="5">
                  <c:v>7.6599999999999997E-4</c:v>
                </c:pt>
                <c:pt idx="6">
                  <c:v>7.4200000000000004E-4</c:v>
                </c:pt>
                <c:pt idx="7">
                  <c:v>7.1599999999999995E-4</c:v>
                </c:pt>
                <c:pt idx="8">
                  <c:v>6.96E-4</c:v>
                </c:pt>
                <c:pt idx="9">
                  <c:v>6.7199999999999996E-4</c:v>
                </c:pt>
                <c:pt idx="10">
                  <c:v>6.4800000000000003E-4</c:v>
                </c:pt>
                <c:pt idx="11">
                  <c:v>6.2600000000000004E-4</c:v>
                </c:pt>
                <c:pt idx="12">
                  <c:v>6.0400000000000004E-4</c:v>
                </c:pt>
                <c:pt idx="13">
                  <c:v>5.7799999999999995E-4</c:v>
                </c:pt>
                <c:pt idx="14">
                  <c:v>5.5599999999999996E-4</c:v>
                </c:pt>
                <c:pt idx="15">
                  <c:v>5.2800000000000004E-4</c:v>
                </c:pt>
                <c:pt idx="16">
                  <c:v>5.0600000000000005E-4</c:v>
                </c:pt>
                <c:pt idx="17">
                  <c:v>4.84E-4</c:v>
                </c:pt>
                <c:pt idx="18">
                  <c:v>4.5800000000000002E-4</c:v>
                </c:pt>
                <c:pt idx="19">
                  <c:v>4.3600000000000003E-4</c:v>
                </c:pt>
                <c:pt idx="20">
                  <c:v>4.1199999999999999E-4</c:v>
                </c:pt>
              </c:numCache>
            </c:numRef>
          </c:xVal>
          <c:yVal>
            <c:numRef>
              <c:f>'L2'!$C$2:$C$22</c:f>
              <c:numCache>
                <c:formatCode>General</c:formatCode>
                <c:ptCount val="21"/>
                <c:pt idx="0">
                  <c:v>-202</c:v>
                </c:pt>
                <c:pt idx="1">
                  <c:v>154</c:v>
                </c:pt>
                <c:pt idx="2">
                  <c:v>-122</c:v>
                </c:pt>
                <c:pt idx="3">
                  <c:v>106</c:v>
                </c:pt>
                <c:pt idx="4">
                  <c:v>-92</c:v>
                </c:pt>
                <c:pt idx="5">
                  <c:v>68</c:v>
                </c:pt>
                <c:pt idx="6">
                  <c:v>-56</c:v>
                </c:pt>
                <c:pt idx="7">
                  <c:v>50</c:v>
                </c:pt>
                <c:pt idx="8">
                  <c:v>-40</c:v>
                </c:pt>
                <c:pt idx="9">
                  <c:v>28</c:v>
                </c:pt>
                <c:pt idx="10">
                  <c:v>-26</c:v>
                </c:pt>
                <c:pt idx="11">
                  <c:v>24</c:v>
                </c:pt>
                <c:pt idx="12">
                  <c:v>-18</c:v>
                </c:pt>
                <c:pt idx="13">
                  <c:v>14</c:v>
                </c:pt>
                <c:pt idx="14">
                  <c:v>-10</c:v>
                </c:pt>
                <c:pt idx="15">
                  <c:v>12</c:v>
                </c:pt>
                <c:pt idx="16">
                  <c:v>-8</c:v>
                </c:pt>
                <c:pt idx="17">
                  <c:v>6</c:v>
                </c:pt>
                <c:pt idx="18">
                  <c:v>-8</c:v>
                </c:pt>
                <c:pt idx="19">
                  <c:v>6</c:v>
                </c:pt>
                <c:pt idx="20">
                  <c:v>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F-4709-BB07-1113D7016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3806175"/>
        <c:axId val="2033804735"/>
      </c:scatterChart>
      <c:valAx>
        <c:axId val="2033806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804735"/>
        <c:crosses val="autoZero"/>
        <c:crossBetween val="midCat"/>
      </c:valAx>
      <c:valAx>
        <c:axId val="203380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806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Retta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'L2'!$E$1</c:f>
              <c:strCache>
                <c:ptCount val="1"/>
                <c:pt idx="0">
                  <c:v>LOG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4591266404199475"/>
                  <c:y val="-0.212583479148439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'L2'!$A$2:$A$32</c:f>
              <c:numCache>
                <c:formatCode>General</c:formatCode>
                <c:ptCount val="31"/>
                <c:pt idx="0">
                  <c:v>8.8199999999999997E-4</c:v>
                </c:pt>
                <c:pt idx="1">
                  <c:v>8.5800000000000004E-4</c:v>
                </c:pt>
                <c:pt idx="2">
                  <c:v>8.34E-4</c:v>
                </c:pt>
                <c:pt idx="3">
                  <c:v>8.12E-4</c:v>
                </c:pt>
                <c:pt idx="4">
                  <c:v>7.8799999999999996E-4</c:v>
                </c:pt>
                <c:pt idx="5">
                  <c:v>7.6599999999999997E-4</c:v>
                </c:pt>
                <c:pt idx="6">
                  <c:v>7.4200000000000004E-4</c:v>
                </c:pt>
                <c:pt idx="7">
                  <c:v>7.1599999999999995E-4</c:v>
                </c:pt>
                <c:pt idx="8">
                  <c:v>6.96E-4</c:v>
                </c:pt>
                <c:pt idx="9">
                  <c:v>6.7199999999999996E-4</c:v>
                </c:pt>
                <c:pt idx="10">
                  <c:v>6.4800000000000003E-4</c:v>
                </c:pt>
                <c:pt idx="11">
                  <c:v>6.2600000000000004E-4</c:v>
                </c:pt>
                <c:pt idx="12">
                  <c:v>6.0400000000000004E-4</c:v>
                </c:pt>
                <c:pt idx="13">
                  <c:v>5.7799999999999995E-4</c:v>
                </c:pt>
                <c:pt idx="14">
                  <c:v>5.5599999999999996E-4</c:v>
                </c:pt>
                <c:pt idx="15">
                  <c:v>5.2800000000000004E-4</c:v>
                </c:pt>
                <c:pt idx="16">
                  <c:v>5.0600000000000005E-4</c:v>
                </c:pt>
                <c:pt idx="17">
                  <c:v>4.84E-4</c:v>
                </c:pt>
                <c:pt idx="18">
                  <c:v>4.5800000000000002E-4</c:v>
                </c:pt>
                <c:pt idx="19">
                  <c:v>4.3600000000000003E-4</c:v>
                </c:pt>
                <c:pt idx="20">
                  <c:v>4.1199999999999999E-4</c:v>
                </c:pt>
              </c:numCache>
            </c:numRef>
          </c:xVal>
          <c:yVal>
            <c:numRef>
              <c:f>'L2'!$E$2:$E$32</c:f>
              <c:numCache>
                <c:formatCode>General</c:formatCode>
                <c:ptCount val="31"/>
                <c:pt idx="0">
                  <c:v>2.3053513694466239</c:v>
                </c:pt>
                <c:pt idx="1">
                  <c:v>2.1875207208364631</c:v>
                </c:pt>
                <c:pt idx="2">
                  <c:v>2.0863598306747484</c:v>
                </c:pt>
                <c:pt idx="3">
                  <c:v>2.0253058652647704</c:v>
                </c:pt>
                <c:pt idx="4">
                  <c:v>1.9637878273455553</c:v>
                </c:pt>
                <c:pt idx="5">
                  <c:v>1.8325089127062364</c:v>
                </c:pt>
                <c:pt idx="6">
                  <c:v>1.7481880270062005</c:v>
                </c:pt>
                <c:pt idx="7">
                  <c:v>1.6989700043360187</c:v>
                </c:pt>
                <c:pt idx="8">
                  <c:v>1.6020599913279623</c:v>
                </c:pt>
                <c:pt idx="9">
                  <c:v>1.4471580313422192</c:v>
                </c:pt>
                <c:pt idx="10">
                  <c:v>1.414973347970818</c:v>
                </c:pt>
                <c:pt idx="11">
                  <c:v>1.3802112417116059</c:v>
                </c:pt>
                <c:pt idx="12">
                  <c:v>1.255272505103306</c:v>
                </c:pt>
                <c:pt idx="13">
                  <c:v>1.146128035678238</c:v>
                </c:pt>
                <c:pt idx="14">
                  <c:v>1</c:v>
                </c:pt>
                <c:pt idx="15">
                  <c:v>1.0791812460476249</c:v>
                </c:pt>
                <c:pt idx="16">
                  <c:v>0.90308998699194354</c:v>
                </c:pt>
                <c:pt idx="17">
                  <c:v>0.77815125038364363</c:v>
                </c:pt>
                <c:pt idx="18">
                  <c:v>0.90308998699194354</c:v>
                </c:pt>
                <c:pt idx="19">
                  <c:v>0.77815125038364363</c:v>
                </c:pt>
                <c:pt idx="20">
                  <c:v>0.6020599913279624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97-4104-B307-CB838C9E7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1030783"/>
        <c:axId val="2091022143"/>
      </c:scatterChart>
      <c:valAx>
        <c:axId val="2091030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1022143"/>
        <c:crosses val="autoZero"/>
        <c:crossBetween val="midCat"/>
      </c:valAx>
      <c:valAx>
        <c:axId val="2091022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1030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Risonanza!$C$2:$C$43</c:f>
              <c:numCache>
                <c:formatCode>General</c:formatCode>
                <c:ptCount val="42"/>
                <c:pt idx="0">
                  <c:v>20943.951023931957</c:v>
                </c:pt>
                <c:pt idx="1">
                  <c:v>29919.930034188506</c:v>
                </c:pt>
                <c:pt idx="2">
                  <c:v>34906.585039886588</c:v>
                </c:pt>
                <c:pt idx="3">
                  <c:v>41066.570635160693</c:v>
                </c:pt>
                <c:pt idx="4">
                  <c:v>44879.895051282765</c:v>
                </c:pt>
                <c:pt idx="5">
                  <c:v>48332.194670612203</c:v>
                </c:pt>
                <c:pt idx="6">
                  <c:v>48332.194670612203</c:v>
                </c:pt>
                <c:pt idx="7">
                  <c:v>49087.385212340523</c:v>
                </c:pt>
                <c:pt idx="8">
                  <c:v>49866.550056980843</c:v>
                </c:pt>
                <c:pt idx="9">
                  <c:v>49866.550056980843</c:v>
                </c:pt>
                <c:pt idx="10">
                  <c:v>51501.518911308085</c:v>
                </c:pt>
                <c:pt idx="11">
                  <c:v>51501.518911308085</c:v>
                </c:pt>
                <c:pt idx="12">
                  <c:v>53247.333111691412</c:v>
                </c:pt>
                <c:pt idx="13">
                  <c:v>54165.390579134364</c:v>
                </c:pt>
                <c:pt idx="14">
                  <c:v>55115.66058929461</c:v>
                </c:pt>
                <c:pt idx="15">
                  <c:v>55603.409798049441</c:v>
                </c:pt>
                <c:pt idx="16">
                  <c:v>57119.866428905327</c:v>
                </c:pt>
                <c:pt idx="17">
                  <c:v>59275.333086599872</c:v>
                </c:pt>
                <c:pt idx="18">
                  <c:v>59275.333086599872</c:v>
                </c:pt>
                <c:pt idx="19">
                  <c:v>61599.85595274104</c:v>
                </c:pt>
                <c:pt idx="20">
                  <c:v>61599.85595274104</c:v>
                </c:pt>
                <c:pt idx="21">
                  <c:v>62209.755516629564</c:v>
                </c:pt>
                <c:pt idx="22">
                  <c:v>62209.755516629564</c:v>
                </c:pt>
                <c:pt idx="23">
                  <c:v>62831.853071795857</c:v>
                </c:pt>
                <c:pt idx="24">
                  <c:v>64114.135787546802</c:v>
                </c:pt>
                <c:pt idx="25">
                  <c:v>66842.396884889225</c:v>
                </c:pt>
                <c:pt idx="26">
                  <c:v>68295.492469343328</c:v>
                </c:pt>
                <c:pt idx="27">
                  <c:v>73060.294269530074</c:v>
                </c:pt>
                <c:pt idx="28">
                  <c:v>80553.657784353665</c:v>
                </c:pt>
                <c:pt idx="29">
                  <c:v>97564.989241919058</c:v>
                </c:pt>
              </c:numCache>
            </c:numRef>
          </c:xVal>
          <c:yVal>
            <c:numRef>
              <c:f>Risonanza!$A$2:$A$43</c:f>
              <c:numCache>
                <c:formatCode>General</c:formatCode>
                <c:ptCount val="42"/>
                <c:pt idx="0">
                  <c:v>172</c:v>
                </c:pt>
                <c:pt idx="1">
                  <c:v>208</c:v>
                </c:pt>
                <c:pt idx="2">
                  <c:v>232</c:v>
                </c:pt>
                <c:pt idx="3">
                  <c:v>296</c:v>
                </c:pt>
                <c:pt idx="4">
                  <c:v>360</c:v>
                </c:pt>
                <c:pt idx="5">
                  <c:v>532</c:v>
                </c:pt>
                <c:pt idx="6">
                  <c:v>492</c:v>
                </c:pt>
                <c:pt idx="7">
                  <c:v>536</c:v>
                </c:pt>
                <c:pt idx="8">
                  <c:v>572</c:v>
                </c:pt>
                <c:pt idx="9">
                  <c:v>548</c:v>
                </c:pt>
                <c:pt idx="10">
                  <c:v>624</c:v>
                </c:pt>
                <c:pt idx="11">
                  <c:v>608</c:v>
                </c:pt>
                <c:pt idx="12">
                  <c:v>696</c:v>
                </c:pt>
                <c:pt idx="13">
                  <c:v>716</c:v>
                </c:pt>
                <c:pt idx="14">
                  <c:v>756</c:v>
                </c:pt>
                <c:pt idx="15">
                  <c:v>772</c:v>
                </c:pt>
                <c:pt idx="16">
                  <c:v>752</c:v>
                </c:pt>
                <c:pt idx="17">
                  <c:v>680</c:v>
                </c:pt>
                <c:pt idx="18">
                  <c:v>612</c:v>
                </c:pt>
                <c:pt idx="19">
                  <c:v>564</c:v>
                </c:pt>
                <c:pt idx="20">
                  <c:v>544</c:v>
                </c:pt>
                <c:pt idx="21">
                  <c:v>516</c:v>
                </c:pt>
                <c:pt idx="22">
                  <c:v>524</c:v>
                </c:pt>
                <c:pt idx="23">
                  <c:v>488</c:v>
                </c:pt>
                <c:pt idx="24">
                  <c:v>436</c:v>
                </c:pt>
                <c:pt idx="25">
                  <c:v>372</c:v>
                </c:pt>
                <c:pt idx="26">
                  <c:v>288</c:v>
                </c:pt>
                <c:pt idx="27">
                  <c:v>232</c:v>
                </c:pt>
                <c:pt idx="28">
                  <c:v>148</c:v>
                </c:pt>
                <c:pt idx="29">
                  <c:v>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B9-46F8-832D-A7C73D597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653359"/>
        <c:axId val="393651919"/>
      </c:scatterChart>
      <c:valAx>
        <c:axId val="393653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93651919"/>
        <c:crosses val="autoZero"/>
        <c:crossBetween val="midCat"/>
      </c:valAx>
      <c:valAx>
        <c:axId val="39365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93653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Risonanza!$C$2:$C$31</c:f>
              <c:numCache>
                <c:formatCode>General</c:formatCode>
                <c:ptCount val="30"/>
                <c:pt idx="0">
                  <c:v>20943.951023931957</c:v>
                </c:pt>
                <c:pt idx="1">
                  <c:v>29919.930034188506</c:v>
                </c:pt>
                <c:pt idx="2">
                  <c:v>34906.585039886588</c:v>
                </c:pt>
                <c:pt idx="3">
                  <c:v>41066.570635160693</c:v>
                </c:pt>
                <c:pt idx="4">
                  <c:v>44879.895051282765</c:v>
                </c:pt>
                <c:pt idx="5">
                  <c:v>48332.194670612203</c:v>
                </c:pt>
                <c:pt idx="6">
                  <c:v>48332.194670612203</c:v>
                </c:pt>
                <c:pt idx="7">
                  <c:v>49087.385212340523</c:v>
                </c:pt>
                <c:pt idx="8">
                  <c:v>49866.550056980843</c:v>
                </c:pt>
                <c:pt idx="9">
                  <c:v>49866.550056980843</c:v>
                </c:pt>
                <c:pt idx="10">
                  <c:v>51501.518911308085</c:v>
                </c:pt>
                <c:pt idx="11">
                  <c:v>51501.518911308085</c:v>
                </c:pt>
                <c:pt idx="12">
                  <c:v>53247.333111691412</c:v>
                </c:pt>
                <c:pt idx="13">
                  <c:v>54165.390579134364</c:v>
                </c:pt>
                <c:pt idx="14">
                  <c:v>55115.66058929461</c:v>
                </c:pt>
                <c:pt idx="15">
                  <c:v>55603.409798049441</c:v>
                </c:pt>
                <c:pt idx="16">
                  <c:v>57119.866428905327</c:v>
                </c:pt>
                <c:pt idx="17">
                  <c:v>59275.333086599872</c:v>
                </c:pt>
                <c:pt idx="18">
                  <c:v>59275.333086599872</c:v>
                </c:pt>
                <c:pt idx="19">
                  <c:v>61599.85595274104</c:v>
                </c:pt>
                <c:pt idx="20">
                  <c:v>61599.85595274104</c:v>
                </c:pt>
                <c:pt idx="21">
                  <c:v>62209.755516629564</c:v>
                </c:pt>
                <c:pt idx="22">
                  <c:v>62209.755516629564</c:v>
                </c:pt>
                <c:pt idx="23">
                  <c:v>62831.853071795857</c:v>
                </c:pt>
                <c:pt idx="24">
                  <c:v>64114.135787546802</c:v>
                </c:pt>
                <c:pt idx="25">
                  <c:v>66842.396884889225</c:v>
                </c:pt>
                <c:pt idx="26">
                  <c:v>68295.492469343328</c:v>
                </c:pt>
                <c:pt idx="27">
                  <c:v>73060.294269530074</c:v>
                </c:pt>
                <c:pt idx="28">
                  <c:v>80553.657784353665</c:v>
                </c:pt>
                <c:pt idx="29">
                  <c:v>97564.989241919058</c:v>
                </c:pt>
              </c:numCache>
            </c:numRef>
          </c:xVal>
          <c:yVal>
            <c:numRef>
              <c:f>Risonanza!$D$2:$D$31</c:f>
              <c:numCache>
                <c:formatCode>General</c:formatCode>
                <c:ptCount val="30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5.5</c:v>
                </c:pt>
                <c:pt idx="4">
                  <c:v>7</c:v>
                </c:pt>
                <c:pt idx="5">
                  <c:v>11</c:v>
                </c:pt>
                <c:pt idx="6">
                  <c:v>10</c:v>
                </c:pt>
                <c:pt idx="7">
                  <c:v>12</c:v>
                </c:pt>
                <c:pt idx="8">
                  <c:v>13</c:v>
                </c:pt>
                <c:pt idx="9">
                  <c:v>11</c:v>
                </c:pt>
                <c:pt idx="10">
                  <c:v>15</c:v>
                </c:pt>
                <c:pt idx="11">
                  <c:v>14</c:v>
                </c:pt>
                <c:pt idx="12">
                  <c:v>18</c:v>
                </c:pt>
                <c:pt idx="13">
                  <c:v>19</c:v>
                </c:pt>
                <c:pt idx="14">
                  <c:v>25</c:v>
                </c:pt>
                <c:pt idx="15">
                  <c:v>27</c:v>
                </c:pt>
                <c:pt idx="16">
                  <c:v>30</c:v>
                </c:pt>
                <c:pt idx="17">
                  <c:v>19.5</c:v>
                </c:pt>
                <c:pt idx="18">
                  <c:v>17</c:v>
                </c:pt>
                <c:pt idx="19">
                  <c:v>15</c:v>
                </c:pt>
                <c:pt idx="20">
                  <c:v>14</c:v>
                </c:pt>
                <c:pt idx="21">
                  <c:v>13</c:v>
                </c:pt>
                <c:pt idx="22">
                  <c:v>13.5</c:v>
                </c:pt>
                <c:pt idx="23">
                  <c:v>10.5</c:v>
                </c:pt>
                <c:pt idx="24">
                  <c:v>11</c:v>
                </c:pt>
                <c:pt idx="25">
                  <c:v>9</c:v>
                </c:pt>
                <c:pt idx="26">
                  <c:v>6</c:v>
                </c:pt>
                <c:pt idx="27">
                  <c:v>5.5</c:v>
                </c:pt>
                <c:pt idx="28">
                  <c:v>3.5</c:v>
                </c:pt>
                <c:pt idx="29">
                  <c:v>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89-4ECE-8578-A78A4AAEE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7066511"/>
        <c:axId val="2080472463"/>
      </c:scatterChart>
      <c:valAx>
        <c:axId val="367066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80472463"/>
        <c:crosses val="autoZero"/>
        <c:crossBetween val="midCat"/>
      </c:valAx>
      <c:valAx>
        <c:axId val="208047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7066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</xdr:colOff>
      <xdr:row>19</xdr:row>
      <xdr:rowOff>161365</xdr:rowOff>
    </xdr:from>
    <xdr:to>
      <xdr:col>12</xdr:col>
      <xdr:colOff>394447</xdr:colOff>
      <xdr:row>37</xdr:row>
      <xdr:rowOff>17930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8C2691-067B-85DF-021D-1EF02FBD0F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5</xdr:col>
      <xdr:colOff>121920</xdr:colOff>
      <xdr:row>1</xdr:row>
      <xdr:rowOff>0</xdr:rowOff>
    </xdr:from>
    <xdr:ext cx="1436996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CE78BC7-D095-172D-6429-19FEBD5AE802}"/>
                </a:ext>
              </a:extLst>
            </xdr:cNvPr>
            <xdr:cNvSpPr txBox="1"/>
          </xdr:nvSpPr>
          <xdr:spPr>
            <a:xfrm>
              <a:off x="3368040" y="182880"/>
              <a:ext cx="143699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𝑉</m:t>
                    </m:r>
                    <m:d>
                      <m:d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</m:d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𝑒𝑥𝑝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(</m:t>
                    </m:r>
                    <m:d>
                      <m:d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l-GR" sz="1100" b="0" i="0">
                            <a:latin typeface="Cambria Math" panose="02040503050406030204" pitchFamily="18" charset="0"/>
                          </a:rPr>
                          <m:t>Γ</m:t>
                        </m:r>
                        <m:r>
                          <m:rPr>
                            <m:lit/>
                          </m:rPr>
                          <a:rPr lang="en-GB" sz="1100" b="0" i="1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2</m:t>
                        </m:r>
                      </m:e>
                    </m:d>
                    <m:r>
                      <a:rPr lang="en-GB" sz="1100" b="0" i="1">
                        <a:latin typeface="Cambria Math" panose="02040503050406030204" pitchFamily="18" charset="0"/>
                      </a:rPr>
                      <m:t> ∗ </m:t>
                    </m:r>
                    <m:r>
                      <m:rPr>
                        <m:sty m:val="p"/>
                      </m:rPr>
                      <a:rPr lang="en-GB" sz="1100" b="0" i="1">
                        <a:latin typeface="Cambria Math" panose="02040503050406030204" pitchFamily="18" charset="0"/>
                      </a:rPr>
                      <m:t>t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GB" sz="1100" b="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2CE78BC7-D095-172D-6429-19FEBD5AE802}"/>
                </a:ext>
              </a:extLst>
            </xdr:cNvPr>
            <xdr:cNvSpPr txBox="1"/>
          </xdr:nvSpPr>
          <xdr:spPr>
            <a:xfrm>
              <a:off x="3368040" y="182880"/>
              <a:ext cx="143699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b="0" i="0">
                  <a:latin typeface="Cambria Math" panose="02040503050406030204" pitchFamily="18" charset="0"/>
                </a:rPr>
                <a:t>𝑉(𝑡)=𝑒𝑥𝑝((−</a:t>
              </a:r>
              <a:r>
                <a:rPr lang="el-GR" sz="1100" b="0" i="0">
                  <a:latin typeface="Cambria Math" panose="02040503050406030204" pitchFamily="18" charset="0"/>
                </a:rPr>
                <a:t>Γ</a:t>
              </a:r>
              <a:r>
                <a:rPr lang="en-GB" sz="1100" b="0" i="0">
                  <a:latin typeface="Cambria Math" panose="02040503050406030204" pitchFamily="18" charset="0"/>
                </a:rPr>
                <a:t>\/2)  * t)</a:t>
              </a:r>
              <a:endParaRPr lang="en-GB" sz="1100" b="0"/>
            </a:p>
          </xdr:txBody>
        </xdr:sp>
      </mc:Fallback>
    </mc:AlternateContent>
    <xdr:clientData/>
  </xdr:oneCellAnchor>
  <xdr:oneCellAnchor>
    <xdr:from>
      <xdr:col>5</xdr:col>
      <xdr:colOff>220980</xdr:colOff>
      <xdr:row>1</xdr:row>
      <xdr:rowOff>171450</xdr:rowOff>
    </xdr:from>
    <xdr:ext cx="1121461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9BF1A24-B06E-01C8-E6E7-192D40C765CA}"/>
                </a:ext>
              </a:extLst>
            </xdr:cNvPr>
            <xdr:cNvSpPr txBox="1"/>
          </xdr:nvSpPr>
          <xdr:spPr>
            <a:xfrm>
              <a:off x="3467100" y="354330"/>
              <a:ext cx="112146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𝑙𝑜𝑔</m:t>
                    </m:r>
                    <m:d>
                      <m:d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</m:d>
                    <m:r>
                      <a:rPr lang="en-GB" sz="1100" b="0" i="1">
                        <a:latin typeface="Cambria Math" panose="02040503050406030204" pitchFamily="18" charset="0"/>
                      </a:rPr>
                      <m:t>=(−</m:t>
                    </m:r>
                    <m:r>
                      <m:rPr>
                        <m:sty m:val="p"/>
                      </m:rPr>
                      <a:rPr lang="el-GR" sz="1100" b="0" i="0">
                        <a:latin typeface="Cambria Math" panose="02040503050406030204" pitchFamily="18" charset="0"/>
                      </a:rPr>
                      <m:t>Γ</m:t>
                    </m:r>
                    <m:r>
                      <m:rPr>
                        <m:lit/>
                      </m:rPr>
                      <a:rPr lang="en-GB" sz="1100" b="0" i="1">
                        <a:latin typeface="Cambria Math" panose="02040503050406030204" pitchFamily="18" charset="0"/>
                      </a:rPr>
                      <m:t>/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2)</m:t>
                    </m:r>
                    <m:r>
                      <m:rPr>
                        <m:sty m:val="p"/>
                      </m:rPr>
                      <a:rPr lang="en-GB" sz="1100" b="0" i="1">
                        <a:latin typeface="Cambria Math" panose="02040503050406030204" pitchFamily="18" charset="0"/>
                      </a:rPr>
                      <m:t>t</m:t>
                    </m:r>
                  </m:oMath>
                </m:oMathPara>
              </a14:m>
              <a:endParaRPr lang="en-GB" sz="1100" b="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A9BF1A24-B06E-01C8-E6E7-192D40C765CA}"/>
                </a:ext>
              </a:extLst>
            </xdr:cNvPr>
            <xdr:cNvSpPr txBox="1"/>
          </xdr:nvSpPr>
          <xdr:spPr>
            <a:xfrm>
              <a:off x="3467100" y="354330"/>
              <a:ext cx="112146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b="0" i="0">
                  <a:latin typeface="Cambria Math" panose="02040503050406030204" pitchFamily="18" charset="0"/>
                </a:rPr>
                <a:t>𝑙𝑜𝑔(𝑉)=(−</a:t>
              </a:r>
              <a:r>
                <a:rPr lang="el-GR" sz="1100" b="0" i="0">
                  <a:latin typeface="Cambria Math" panose="02040503050406030204" pitchFamily="18" charset="0"/>
                </a:rPr>
                <a:t>Γ</a:t>
              </a:r>
              <a:r>
                <a:rPr lang="en-GB" sz="1100" b="0" i="0">
                  <a:latin typeface="Cambria Math" panose="02040503050406030204" pitchFamily="18" charset="0"/>
                </a:rPr>
                <a:t>\/2)t</a:t>
              </a:r>
              <a:endParaRPr lang="en-GB" sz="1100" b="0"/>
            </a:p>
          </xdr:txBody>
        </xdr:sp>
      </mc:Fallback>
    </mc:AlternateContent>
    <xdr:clientData/>
  </xdr:oneCellAnchor>
  <xdr:oneCellAnchor>
    <xdr:from>
      <xdr:col>15</xdr:col>
      <xdr:colOff>198120</xdr:colOff>
      <xdr:row>0</xdr:row>
      <xdr:rowOff>41910</xdr:rowOff>
    </xdr:from>
    <xdr:ext cx="453329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60A6772-1DE1-7283-9C76-8DA3E1EAF01B}"/>
            </a:ext>
          </a:extLst>
        </xdr:cNvPr>
        <xdr:cNvSpPr txBox="1"/>
      </xdr:nvSpPr>
      <xdr:spPr>
        <a:xfrm>
          <a:off x="9738360" y="41910"/>
          <a:ext cx="453329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l-GR" sz="1100"/>
            <a:t>ω</a:t>
          </a:r>
          <a:r>
            <a:rPr lang="en-GB" sz="1100"/>
            <a:t>=</a:t>
          </a:r>
          <a:r>
            <a:rPr lang="en-GB" sz="1100" baseline="0"/>
            <a:t> 2</a:t>
          </a:r>
          <a:r>
            <a:rPr lang="el-GR" sz="1100" baseline="0"/>
            <a:t>π</a:t>
          </a:r>
          <a:r>
            <a:rPr lang="en-GB" sz="1100" baseline="0"/>
            <a:t>/T</a:t>
          </a:r>
        </a:p>
      </xdr:txBody>
    </xdr:sp>
    <xdr:clientData/>
  </xdr:oneCellAnchor>
  <xdr:oneCellAnchor>
    <xdr:from>
      <xdr:col>16</xdr:col>
      <xdr:colOff>137160</xdr:colOff>
      <xdr:row>1</xdr:row>
      <xdr:rowOff>11430</xdr:rowOff>
    </xdr:from>
    <xdr:ext cx="630685" cy="3180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8DBA22E5-6867-ABE1-D8B7-22FD54AB1266}"/>
                </a:ext>
              </a:extLst>
            </xdr:cNvPr>
            <xdr:cNvSpPr txBox="1"/>
          </xdr:nvSpPr>
          <xdr:spPr>
            <a:xfrm>
              <a:off x="10287000" y="194310"/>
              <a:ext cx="630685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GB" sz="1100" b="0" i="1">
                        <a:latin typeface="Cambria Math" panose="02040503050406030204" pitchFamily="18" charset="0"/>
                      </a:rPr>
                      <m:t>L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GB" sz="1100" b="0" i="1">
                            <a:latin typeface="Cambria Math" panose="02040503050406030204" pitchFamily="18" charset="0"/>
                          </a:rPr>
                          <m:t>w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^2</m:t>
                        </m:r>
                        <m:r>
                          <m:rPr>
                            <m:sty m:val="p"/>
                          </m:rPr>
                          <a:rPr lang="en-GB" sz="1100" b="0" i="1">
                            <a:latin typeface="Cambria Math" panose="02040503050406030204" pitchFamily="18" charset="0"/>
                          </a:rPr>
                          <m:t>C</m:t>
                        </m:r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8DBA22E5-6867-ABE1-D8B7-22FD54AB1266}"/>
                </a:ext>
              </a:extLst>
            </xdr:cNvPr>
            <xdr:cNvSpPr txBox="1"/>
          </xdr:nvSpPr>
          <xdr:spPr>
            <a:xfrm>
              <a:off x="10287000" y="194310"/>
              <a:ext cx="630685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b="0" i="0">
                  <a:latin typeface="Cambria Math" panose="02040503050406030204" pitchFamily="18" charset="0"/>
                </a:rPr>
                <a:t>L=1/(w^2C)</a:t>
              </a:r>
              <a:endParaRPr lang="en-GB" sz="1100"/>
            </a:p>
          </xdr:txBody>
        </xdr:sp>
      </mc:Fallback>
    </mc:AlternateContent>
    <xdr:clientData/>
  </xdr:oneCellAnchor>
  <xdr:twoCellAnchor>
    <xdr:from>
      <xdr:col>4</xdr:col>
      <xdr:colOff>22410</xdr:colOff>
      <xdr:row>6</xdr:row>
      <xdr:rowOff>170327</xdr:rowOff>
    </xdr:from>
    <xdr:to>
      <xdr:col>12</xdr:col>
      <xdr:colOff>313764</xdr:colOff>
      <xdr:row>20</xdr:row>
      <xdr:rowOff>125504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340C286-BC8E-7688-944B-A66BA91DDD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434788</xdr:colOff>
      <xdr:row>8</xdr:row>
      <xdr:rowOff>107577</xdr:rowOff>
    </xdr:from>
    <xdr:to>
      <xdr:col>23</xdr:col>
      <xdr:colOff>129988</xdr:colOff>
      <xdr:row>23</xdr:row>
      <xdr:rowOff>161365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12D3119B-B74F-95A0-380D-42B48D66D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</xdr:colOff>
      <xdr:row>19</xdr:row>
      <xdr:rowOff>161365</xdr:rowOff>
    </xdr:from>
    <xdr:to>
      <xdr:col>13</xdr:col>
      <xdr:colOff>394447</xdr:colOff>
      <xdr:row>37</xdr:row>
      <xdr:rowOff>17930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4EE492-143A-4FDC-93AF-BA4555F976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6</xdr:col>
      <xdr:colOff>121920</xdr:colOff>
      <xdr:row>1</xdr:row>
      <xdr:rowOff>0</xdr:rowOff>
    </xdr:from>
    <xdr:ext cx="1436996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8D0E021-ADE1-4AF7-967C-A3F9625DF271}"/>
                </a:ext>
              </a:extLst>
            </xdr:cNvPr>
            <xdr:cNvSpPr txBox="1"/>
          </xdr:nvSpPr>
          <xdr:spPr>
            <a:xfrm>
              <a:off x="3368040" y="182880"/>
              <a:ext cx="143699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𝑉</m:t>
                    </m:r>
                    <m:d>
                      <m:d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</m:d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𝑒𝑥𝑝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(</m:t>
                    </m:r>
                    <m:d>
                      <m:d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sty m:val="p"/>
                          </m:rPr>
                          <a:rPr lang="el-GR" sz="1100" b="0" i="0">
                            <a:latin typeface="Cambria Math" panose="02040503050406030204" pitchFamily="18" charset="0"/>
                          </a:rPr>
                          <m:t>Γ</m:t>
                        </m:r>
                        <m:r>
                          <m:rPr>
                            <m:lit/>
                          </m:rPr>
                          <a:rPr lang="en-GB" sz="1100" b="0" i="1">
                            <a:latin typeface="Cambria Math" panose="02040503050406030204" pitchFamily="18" charset="0"/>
                          </a:rPr>
                          <m:t>/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2</m:t>
                        </m:r>
                      </m:e>
                    </m:d>
                    <m:r>
                      <a:rPr lang="en-GB" sz="1100" b="0" i="1">
                        <a:latin typeface="Cambria Math" panose="02040503050406030204" pitchFamily="18" charset="0"/>
                      </a:rPr>
                      <m:t> ∗ </m:t>
                    </m:r>
                    <m:r>
                      <m:rPr>
                        <m:sty m:val="p"/>
                      </m:rPr>
                      <a:rPr lang="en-GB" sz="1100" b="0" i="1">
                        <a:latin typeface="Cambria Math" panose="02040503050406030204" pitchFamily="18" charset="0"/>
                      </a:rPr>
                      <m:t>t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GB" sz="1100" b="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8D0E021-ADE1-4AF7-967C-A3F9625DF271}"/>
                </a:ext>
              </a:extLst>
            </xdr:cNvPr>
            <xdr:cNvSpPr txBox="1"/>
          </xdr:nvSpPr>
          <xdr:spPr>
            <a:xfrm>
              <a:off x="3368040" y="182880"/>
              <a:ext cx="143699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𝑉(𝑡)=𝑒𝑥𝑝((−</a:t>
              </a:r>
              <a:r>
                <a:rPr lang="el-GR" sz="1100" b="0" i="0">
                  <a:latin typeface="Cambria Math" panose="02040503050406030204" pitchFamily="18" charset="0"/>
                </a:rPr>
                <a:t>Γ</a:t>
              </a:r>
              <a:r>
                <a:rPr lang="en-GB" sz="1100" b="0" i="0">
                  <a:latin typeface="Cambria Math" panose="02040503050406030204" pitchFamily="18" charset="0"/>
                </a:rPr>
                <a:t>\/2)  ∗ t)</a:t>
              </a:r>
              <a:endParaRPr lang="en-GB" sz="1100" b="0"/>
            </a:p>
          </xdr:txBody>
        </xdr:sp>
      </mc:Fallback>
    </mc:AlternateContent>
    <xdr:clientData/>
  </xdr:oneCellAnchor>
  <xdr:oneCellAnchor>
    <xdr:from>
      <xdr:col>6</xdr:col>
      <xdr:colOff>220980</xdr:colOff>
      <xdr:row>1</xdr:row>
      <xdr:rowOff>171450</xdr:rowOff>
    </xdr:from>
    <xdr:ext cx="1121461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E7209CD-61E5-428F-87E9-11EED2E14D37}"/>
                </a:ext>
              </a:extLst>
            </xdr:cNvPr>
            <xdr:cNvSpPr txBox="1"/>
          </xdr:nvSpPr>
          <xdr:spPr>
            <a:xfrm>
              <a:off x="3467100" y="354330"/>
              <a:ext cx="112146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𝑙𝑜𝑔</m:t>
                    </m:r>
                    <m:d>
                      <m:d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</m:d>
                    <m:r>
                      <a:rPr lang="en-GB" sz="1100" b="0" i="1">
                        <a:latin typeface="Cambria Math" panose="02040503050406030204" pitchFamily="18" charset="0"/>
                      </a:rPr>
                      <m:t>=(−</m:t>
                    </m:r>
                    <m:r>
                      <m:rPr>
                        <m:sty m:val="p"/>
                      </m:rPr>
                      <a:rPr lang="el-GR" sz="1100" b="0" i="0">
                        <a:latin typeface="Cambria Math" panose="02040503050406030204" pitchFamily="18" charset="0"/>
                      </a:rPr>
                      <m:t>Γ</m:t>
                    </m:r>
                    <m:r>
                      <m:rPr>
                        <m:lit/>
                      </m:rPr>
                      <a:rPr lang="en-GB" sz="1100" b="0" i="1">
                        <a:latin typeface="Cambria Math" panose="02040503050406030204" pitchFamily="18" charset="0"/>
                      </a:rPr>
                      <m:t>/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2)</m:t>
                    </m:r>
                    <m:r>
                      <m:rPr>
                        <m:sty m:val="p"/>
                      </m:rPr>
                      <a:rPr lang="en-GB" sz="1100" b="0" i="1">
                        <a:latin typeface="Cambria Math" panose="02040503050406030204" pitchFamily="18" charset="0"/>
                      </a:rPr>
                      <m:t>t</m:t>
                    </m:r>
                  </m:oMath>
                </m:oMathPara>
              </a14:m>
              <a:endParaRPr lang="en-GB" sz="1100" b="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E7209CD-61E5-428F-87E9-11EED2E14D37}"/>
                </a:ext>
              </a:extLst>
            </xdr:cNvPr>
            <xdr:cNvSpPr txBox="1"/>
          </xdr:nvSpPr>
          <xdr:spPr>
            <a:xfrm>
              <a:off x="3467100" y="354330"/>
              <a:ext cx="112146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𝑙𝑜𝑔(𝑉)=(−</a:t>
              </a:r>
              <a:r>
                <a:rPr lang="el-GR" sz="1100" b="0" i="0">
                  <a:latin typeface="Cambria Math" panose="02040503050406030204" pitchFamily="18" charset="0"/>
                </a:rPr>
                <a:t>Γ</a:t>
              </a:r>
              <a:r>
                <a:rPr lang="en-GB" sz="1100" b="0" i="0">
                  <a:latin typeface="Cambria Math" panose="02040503050406030204" pitchFamily="18" charset="0"/>
                </a:rPr>
                <a:t>\/2)t</a:t>
              </a:r>
              <a:endParaRPr lang="en-GB" sz="1100" b="0"/>
            </a:p>
          </xdr:txBody>
        </xdr:sp>
      </mc:Fallback>
    </mc:AlternateContent>
    <xdr:clientData/>
  </xdr:oneCellAnchor>
  <xdr:oneCellAnchor>
    <xdr:from>
      <xdr:col>16</xdr:col>
      <xdr:colOff>198120</xdr:colOff>
      <xdr:row>0</xdr:row>
      <xdr:rowOff>41910</xdr:rowOff>
    </xdr:from>
    <xdr:ext cx="453329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489AEB3-F030-4242-A319-A287C21F6035}"/>
            </a:ext>
          </a:extLst>
        </xdr:cNvPr>
        <xdr:cNvSpPr txBox="1"/>
      </xdr:nvSpPr>
      <xdr:spPr>
        <a:xfrm>
          <a:off x="9738360" y="41910"/>
          <a:ext cx="453329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l-GR" sz="1100"/>
            <a:t>ω</a:t>
          </a:r>
          <a:r>
            <a:rPr lang="en-GB" sz="1100"/>
            <a:t>=</a:t>
          </a:r>
          <a:r>
            <a:rPr lang="en-GB" sz="1100" baseline="0"/>
            <a:t> 2</a:t>
          </a:r>
          <a:r>
            <a:rPr lang="el-GR" sz="1100" baseline="0"/>
            <a:t>π</a:t>
          </a:r>
          <a:r>
            <a:rPr lang="en-GB" sz="1100" baseline="0"/>
            <a:t>/T</a:t>
          </a:r>
        </a:p>
      </xdr:txBody>
    </xdr:sp>
    <xdr:clientData/>
  </xdr:oneCellAnchor>
  <xdr:oneCellAnchor>
    <xdr:from>
      <xdr:col>17</xdr:col>
      <xdr:colOff>137160</xdr:colOff>
      <xdr:row>1</xdr:row>
      <xdr:rowOff>11430</xdr:rowOff>
    </xdr:from>
    <xdr:ext cx="630685" cy="31803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B409265-AC43-4A42-9372-8D34B3634C62}"/>
                </a:ext>
              </a:extLst>
            </xdr:cNvPr>
            <xdr:cNvSpPr txBox="1"/>
          </xdr:nvSpPr>
          <xdr:spPr>
            <a:xfrm>
              <a:off x="10287000" y="194310"/>
              <a:ext cx="630685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GB" sz="1100" b="0" i="1">
                        <a:latin typeface="Cambria Math" panose="02040503050406030204" pitchFamily="18" charset="0"/>
                      </a:rPr>
                      <m:t>L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n-GB" sz="1100" b="0" i="1">
                            <a:latin typeface="Cambria Math" panose="02040503050406030204" pitchFamily="18" charset="0"/>
                          </a:rPr>
                          <m:t>w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^2</m:t>
                        </m:r>
                        <m:r>
                          <m:rPr>
                            <m:sty m:val="p"/>
                          </m:rPr>
                          <a:rPr lang="en-GB" sz="1100" b="0" i="1">
                            <a:latin typeface="Cambria Math" panose="02040503050406030204" pitchFamily="18" charset="0"/>
                          </a:rPr>
                          <m:t>C</m:t>
                        </m:r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B409265-AC43-4A42-9372-8D34B3634C62}"/>
                </a:ext>
              </a:extLst>
            </xdr:cNvPr>
            <xdr:cNvSpPr txBox="1"/>
          </xdr:nvSpPr>
          <xdr:spPr>
            <a:xfrm>
              <a:off x="10287000" y="194310"/>
              <a:ext cx="630685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L=1/(w^2C)</a:t>
              </a:r>
              <a:endParaRPr lang="en-GB" sz="1100"/>
            </a:p>
          </xdr:txBody>
        </xdr:sp>
      </mc:Fallback>
    </mc:AlternateContent>
    <xdr:clientData/>
  </xdr:oneCellAnchor>
  <xdr:twoCellAnchor>
    <xdr:from>
      <xdr:col>5</xdr:col>
      <xdr:colOff>94128</xdr:colOff>
      <xdr:row>5</xdr:row>
      <xdr:rowOff>170329</xdr:rowOff>
    </xdr:from>
    <xdr:to>
      <xdr:col>13</xdr:col>
      <xdr:colOff>385482</xdr:colOff>
      <xdr:row>19</xdr:row>
      <xdr:rowOff>125506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7D40DB1-181F-4168-835C-DF1BB96120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434788</xdr:colOff>
      <xdr:row>8</xdr:row>
      <xdr:rowOff>107577</xdr:rowOff>
    </xdr:from>
    <xdr:to>
      <xdr:col>24</xdr:col>
      <xdr:colOff>129988</xdr:colOff>
      <xdr:row>23</xdr:row>
      <xdr:rowOff>161365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07AACE37-6FCE-4AE4-99C5-9398B19F4D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419632</xdr:colOff>
      <xdr:row>11</xdr:row>
      <xdr:rowOff>77352</xdr:rowOff>
    </xdr:from>
    <xdr:to>
      <xdr:col>19</xdr:col>
      <xdr:colOff>114832</xdr:colOff>
      <xdr:row>26</xdr:row>
      <xdr:rowOff>77351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421F400D-37ED-2726-4E3D-4019AF43D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558918</xdr:colOff>
      <xdr:row>9</xdr:row>
      <xdr:rowOff>184032</xdr:rowOff>
    </xdr:from>
    <xdr:to>
      <xdr:col>26</xdr:col>
      <xdr:colOff>254117</xdr:colOff>
      <xdr:row>24</xdr:row>
      <xdr:rowOff>184033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80557DFD-3861-63DA-3379-44C9F40C82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A7EE3E-C3C2-4BAA-8E87-7E02D8C58FFA}" name="Table1" displayName="Table1" ref="A1:D31" totalsRowShown="0">
  <autoFilter ref="A1:D31" xr:uid="{3AA7EE3E-C3C2-4BAA-8E87-7E02D8C58FFA}"/>
  <sortState xmlns:xlrd2="http://schemas.microsoft.com/office/spreadsheetml/2017/richdata2" ref="A2:D31">
    <sortCondition descending="1" ref="A1:A31"/>
  </sortState>
  <tableColumns count="4">
    <tableColumn id="1" xr3:uid="{C626C330-FD79-45A3-B8DF-6B39CDA50024}" name="T" dataDxfId="15">
      <calculatedColumnFormula>832*10^(-6)</calculatedColumnFormula>
    </tableColumn>
    <tableColumn id="2" xr3:uid="{44E3CB14-F34F-4A89-B2F9-FE4629E1E298}" name="V"/>
    <tableColumn id="3" xr3:uid="{C4BDB369-6D4F-4239-AEA0-3774AE65DBEF}" name="ABS (V)" dataDxfId="14">
      <calculatedColumnFormula>ABS(Table1[[#This Row],[V]])</calculatedColumnFormula>
    </tableColumn>
    <tableColumn id="4" xr3:uid="{BCB6F187-81AD-4D7B-B93F-C857695F1493}" name="LOG (V)" dataDxfId="13">
      <calculatedColumnFormula>LOG(Table1[[#This Row],[ABS (V)]])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6AA7DF-FC41-448F-BF99-19C24831DA7F}" name="Table2" displayName="Table2" ref="N1:O32" totalsRowShown="0">
  <autoFilter ref="N1:O32" xr:uid="{C76AA7DF-FC41-448F-BF99-19C24831DA7F}"/>
  <sortState xmlns:xlrd2="http://schemas.microsoft.com/office/spreadsheetml/2017/richdata2" ref="N2:O32">
    <sortCondition descending="1" ref="N1:N32"/>
  </sortState>
  <tableColumns count="2">
    <tableColumn id="1" xr3:uid="{7E9A8B06-0CC1-48AC-9DC9-DBB0D9F82EA3}" name="T" dataDxfId="12">
      <calculatedColumnFormula>Table1[[#This Row],[T]]-A4</calculatedColumnFormula>
    </tableColumn>
    <tableColumn id="2" xr3:uid="{E69D9750-5813-4140-90A8-BE9515CD1A2C}" name="ω" dataDxfId="11">
      <calculatedColumnFormula>2*PI()/Table2[[#This Row],[T]]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CDD495A-CB62-4604-82FD-8768C2BD6AE6}" name="Table15" displayName="Table15" ref="A1:E31" totalsRowShown="0">
  <autoFilter ref="A1:E31" xr:uid="{3AA7EE3E-C3C2-4BAA-8E87-7E02D8C58FFA}"/>
  <sortState xmlns:xlrd2="http://schemas.microsoft.com/office/spreadsheetml/2017/richdata2" ref="A2:E31">
    <sortCondition descending="1" ref="A1:A31"/>
  </sortState>
  <tableColumns count="5">
    <tableColumn id="1" xr3:uid="{EA83BD5F-BBA4-46EB-ABFC-F8602A0C96F2}" name="T" dataDxfId="10">
      <calculatedColumnFormula>832*10^(-6)</calculatedColumnFormula>
    </tableColumn>
    <tableColumn id="5" xr3:uid="{3E7F9B09-52C0-44AE-A957-7A9BDD683A81}" name="Colonna1"/>
    <tableColumn id="2" xr3:uid="{DB882948-7C5B-4C32-B0EF-F41107EA1C8C}" name="V" dataDxfId="9">
      <calculatedColumnFormula>Table15[[#This Row],[Colonna1]]+$K$2</calculatedColumnFormula>
    </tableColumn>
    <tableColumn id="3" xr3:uid="{1C0C5E8B-E639-4E16-81CA-91975CF5D962}" name="ABS (V)" dataDxfId="8">
      <calculatedColumnFormula>ABS(Table15[[#This Row],[V]])</calculatedColumnFormula>
    </tableColumn>
    <tableColumn id="4" xr3:uid="{88077413-69ED-4500-A960-56D0AF3141A4}" name="LOG (V)" dataDxfId="7">
      <calculatedColumnFormula>LOG(Table15[[#This Row],[ABS (V)]])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36A76A3-9120-4862-AA3D-966A1115AE59}" name="Table26" displayName="Table26" ref="O1:P32" totalsRowShown="0">
  <autoFilter ref="O1:P32" xr:uid="{C76AA7DF-FC41-448F-BF99-19C24831DA7F}"/>
  <tableColumns count="2">
    <tableColumn id="1" xr3:uid="{E9651C1A-5115-49B2-AA26-14FDCFEB7DBE}" name="T" dataDxfId="6">
      <calculatedColumnFormula>Table15[[#This Row],[T]]-A4</calculatedColumnFormula>
    </tableColumn>
    <tableColumn id="2" xr3:uid="{5D60CF60-4A3C-4858-A8C0-5A2C9B45BC15}" name="ω" dataDxfId="5">
      <calculatedColumnFormula>2*PI()/Table26[[#This Row],[T]]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08DF2C-9D4D-4917-83E5-F32958855A42}" name="Table3" displayName="Table3" ref="A1:G43" totalsRowShown="0">
  <autoFilter ref="A1:G43" xr:uid="{B208DF2C-9D4D-4917-83E5-F32958855A42}"/>
  <sortState xmlns:xlrd2="http://schemas.microsoft.com/office/spreadsheetml/2017/richdata2" ref="A2:D43">
    <sortCondition ref="C1:C43"/>
  </sortState>
  <tableColumns count="7">
    <tableColumn id="1" xr3:uid="{255D6A9A-C513-49ED-9502-D35A0809331F}" name="V"/>
    <tableColumn id="3" xr3:uid="{4E1AE0EF-9D8C-4A80-B0F1-B51594B88294}" name="T" dataDxfId="4">
      <calculatedColumnFormula>2*0.0000565</calculatedColumnFormula>
    </tableColumn>
    <tableColumn id="2" xr3:uid="{FA7A5E3C-40F3-450A-AAC7-9E4839D86104}" name="ω" dataDxfId="3">
      <calculatedColumnFormula>2*PI()/Table3[[#This Row],[T]]</calculatedColumnFormula>
    </tableColumn>
    <tableColumn id="4" xr3:uid="{2A981AEC-AE52-489F-A464-16FA366D849B}" name="Diff. Fase (microsecondi)"/>
    <tableColumn id="5" xr3:uid="{D0074B85-05B9-4565-87E9-E608254F69DC}" name="Colonna1" dataDxfId="2">
      <calculatedColumnFormula>Table3[[#This Row],[Diff. Fase (microsecondi)]]*10^-6</calculatedColumnFormula>
    </tableColumn>
    <tableColumn id="6" xr3:uid="{0E70ECCD-4FAE-4020-8740-F34F27C9BDD9}" name="Colonna2" dataDxfId="1">
      <calculatedColumnFormula>Table3[[#This Row],[Colonna1]]-Table3[[#This Row],[T]]</calculatedColumnFormula>
    </tableColumn>
    <tableColumn id="7" xr3:uid="{C219B6F4-FD9C-451C-AC67-E202B21182FD}" name="Colonna3" dataDxfId="0">
      <calculatedColumnFormula>Table3[[#This Row],[Colonna2]]*10^6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F0A54-13A3-492C-882B-8C85E5EEBC72}">
  <dimension ref="A1:X32"/>
  <sheetViews>
    <sheetView topLeftCell="B1" zoomScale="85" workbookViewId="0">
      <selection activeCell="S5" sqref="S5"/>
    </sheetView>
  </sheetViews>
  <sheetFormatPr defaultRowHeight="14.4" x14ac:dyDescent="0.3"/>
  <cols>
    <col min="1" max="2" width="10.33203125" customWidth="1"/>
    <col min="14" max="15" width="10.3320312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N1" t="s">
        <v>0</v>
      </c>
      <c r="O1" t="s">
        <v>4</v>
      </c>
    </row>
    <row r="2" spans="1:24" x14ac:dyDescent="0.3">
      <c r="A2">
        <f>832*10^(-6)</f>
        <v>8.3199999999999995E-4</v>
      </c>
      <c r="B2">
        <v>-35.6</v>
      </c>
      <c r="C2">
        <f>ABS(Table1[[#This Row],[V]])</f>
        <v>35.6</v>
      </c>
      <c r="D2">
        <f>LOG(Table1[[#This Row],[ABS (V)]])</f>
        <v>1.5514499979728751</v>
      </c>
      <c r="N2">
        <f>Table1[[#This Row],[T]]-A4</f>
        <v>3.9999999999999996E-5</v>
      </c>
      <c r="O2">
        <f>2*PI()/Table2[[#This Row],[T]]</f>
        <v>157079.63267948967</v>
      </c>
    </row>
    <row r="3" spans="1:24" x14ac:dyDescent="0.3">
      <c r="A3">
        <f>812*10^(-6)</f>
        <v>8.12E-4</v>
      </c>
      <c r="B3">
        <v>28.8</v>
      </c>
      <c r="C3">
        <f>ABS(Table1[[#This Row],[V]])</f>
        <v>28.8</v>
      </c>
      <c r="D3">
        <f>LOG(Table1[[#This Row],[ABS (V)]])</f>
        <v>1.4593924877592308</v>
      </c>
      <c r="N3">
        <f>Table1[[#This Row],[T]]-A5</f>
        <v>4.2000000000000045E-5</v>
      </c>
      <c r="O3">
        <f>2*PI()/Table2[[#This Row],[T]]</f>
        <v>149599.65017094236</v>
      </c>
    </row>
    <row r="4" spans="1:24" x14ac:dyDescent="0.3">
      <c r="A4">
        <v>7.9199999999999995E-4</v>
      </c>
      <c r="B4">
        <v>-21.6</v>
      </c>
      <c r="C4">
        <f>ABS(Table1[[#This Row],[V]])</f>
        <v>21.6</v>
      </c>
      <c r="D4">
        <f>LOG(Table1[[#This Row],[ABS (V)]])</f>
        <v>1.3344537511509309</v>
      </c>
      <c r="F4" s="1" t="s">
        <v>5</v>
      </c>
      <c r="G4" s="1" t="s">
        <v>6</v>
      </c>
      <c r="H4" s="1" t="s">
        <v>7</v>
      </c>
      <c r="J4" t="s">
        <v>14</v>
      </c>
      <c r="N4">
        <f>Table1[[#This Row],[T]]-A6</f>
        <v>4.5999999999999925E-5</v>
      </c>
      <c r="O4">
        <f>2*PI()/Table2[[#This Row],[T]]</f>
        <v>136590.98493868689</v>
      </c>
      <c r="Q4" s="1" t="s">
        <v>12</v>
      </c>
      <c r="R4" s="1" t="s">
        <v>4</v>
      </c>
      <c r="S4" s="5" t="s">
        <v>8</v>
      </c>
      <c r="T4" s="1" t="s">
        <v>21</v>
      </c>
      <c r="V4" s="1" t="s">
        <v>18</v>
      </c>
      <c r="W4" s="1" t="s">
        <v>19</v>
      </c>
      <c r="X4" s="1" t="s">
        <v>20</v>
      </c>
    </row>
    <row r="5" spans="1:24" x14ac:dyDescent="0.3">
      <c r="A5">
        <v>7.6999999999999996E-4</v>
      </c>
      <c r="B5">
        <v>19.600000000000001</v>
      </c>
      <c r="C5">
        <f>ABS(Table1[[#This Row],[V]])</f>
        <v>19.600000000000001</v>
      </c>
      <c r="D5">
        <f>LOG(Table1[[#This Row],[ABS (V)]])</f>
        <v>1.2922560713564761</v>
      </c>
      <c r="F5" s="1">
        <v>216</v>
      </c>
      <c r="G5" s="1">
        <f>3041.4*2</f>
        <v>6082.8</v>
      </c>
      <c r="H5" s="1">
        <f>F5/G5*1000</f>
        <v>35.509962517261791</v>
      </c>
      <c r="J5">
        <v>-3041.4</v>
      </c>
      <c r="N5">
        <f>Table1[[#This Row],[T]]-A7</f>
        <v>4.3999999999999985E-5</v>
      </c>
      <c r="O5">
        <f>2*PI()/Table2[[#This Row],[T]]</f>
        <v>142799.66607226338</v>
      </c>
      <c r="Q5" s="1">
        <v>2.4</v>
      </c>
      <c r="R5" s="1">
        <v>125663.70614359167</v>
      </c>
      <c r="S5" s="5">
        <f>1/(R5^2*Q5)*10^12</f>
        <v>26.385724906858822</v>
      </c>
      <c r="T5" s="1">
        <f>(2*W5/R5+X5/Q5)*S5</f>
        <v>2.5129261816055992</v>
      </c>
      <c r="V5" s="1">
        <f>2*10^-6</f>
        <v>1.9999999999999999E-6</v>
      </c>
      <c r="W5" s="1">
        <f>(V5/N3)*R5</f>
        <v>5983.986006837692</v>
      </c>
      <c r="X5" s="1"/>
    </row>
    <row r="6" spans="1:24" x14ac:dyDescent="0.3">
      <c r="A6">
        <v>7.4600000000000003E-4</v>
      </c>
      <c r="B6">
        <v>-18</v>
      </c>
      <c r="C6">
        <f>ABS(Table1[[#This Row],[V]])</f>
        <v>18</v>
      </c>
      <c r="D6">
        <f>LOG(Table1[[#This Row],[ABS (V)]])</f>
        <v>1.255272505103306</v>
      </c>
      <c r="N6">
        <f>Table1[[#This Row],[T]]-A8</f>
        <v>3.8000000000000056E-5</v>
      </c>
      <c r="O6">
        <f>2*PI()/Table2[[#This Row],[T]]</f>
        <v>165346.98176788361</v>
      </c>
    </row>
    <row r="7" spans="1:24" x14ac:dyDescent="0.3">
      <c r="A7">
        <v>7.2599999999999997E-4</v>
      </c>
      <c r="B7">
        <v>16.8</v>
      </c>
      <c r="C7">
        <f>ABS(Table1[[#This Row],[V]])</f>
        <v>16.8</v>
      </c>
      <c r="D7">
        <f>LOG(Table1[[#This Row],[ABS (V)]])</f>
        <v>1.2253092817258628</v>
      </c>
      <c r="N7">
        <f>Table1[[#This Row],[T]]-A9</f>
        <v>3.9999999999999996E-5</v>
      </c>
      <c r="O7">
        <f>2*PI()/Table2[[#This Row],[T]]</f>
        <v>157079.63267948967</v>
      </c>
      <c r="R7" s="1" t="s">
        <v>13</v>
      </c>
      <c r="S7" s="5" t="s">
        <v>22</v>
      </c>
    </row>
    <row r="8" spans="1:24" x14ac:dyDescent="0.3">
      <c r="A8">
        <v>7.0799999999999997E-4</v>
      </c>
      <c r="B8">
        <v>-14.4</v>
      </c>
      <c r="C8">
        <f>ABS(Table1[[#This Row],[V]])</f>
        <v>14.4</v>
      </c>
      <c r="D8">
        <f>LOG(Table1[[#This Row],[ABS (V)]])</f>
        <v>1.1583624920952498</v>
      </c>
      <c r="N8">
        <f>Table1[[#This Row],[T]]-A10</f>
        <v>4.3999999999999985E-5</v>
      </c>
      <c r="O8">
        <f>2*PI()/Table2[[#This Row],[T]]</f>
        <v>142799.66607226338</v>
      </c>
      <c r="R8" s="1">
        <v>42</v>
      </c>
      <c r="S8" s="5">
        <f>ABS(S5-R8)/R8*100</f>
        <v>37.176845459859948</v>
      </c>
    </row>
    <row r="9" spans="1:24" x14ac:dyDescent="0.3">
      <c r="A9">
        <v>6.8599999999999998E-4</v>
      </c>
      <c r="B9">
        <v>10.4</v>
      </c>
      <c r="C9">
        <f>ABS(Table1[[#This Row],[V]])</f>
        <v>10.4</v>
      </c>
      <c r="D9">
        <f>LOG(Table1[[#This Row],[ABS (V)]])</f>
        <v>1.0170333392987803</v>
      </c>
      <c r="N9">
        <f>Table1[[#This Row],[T]]-A11</f>
        <v>4.3999999999999985E-5</v>
      </c>
      <c r="O9">
        <f>2*PI()/Table2[[#This Row],[T]]</f>
        <v>142799.66607226338</v>
      </c>
    </row>
    <row r="10" spans="1:24" x14ac:dyDescent="0.3">
      <c r="A10">
        <v>6.6399999999999999E-4</v>
      </c>
      <c r="B10">
        <v>-8.8000000000000007</v>
      </c>
      <c r="C10">
        <f>ABS(Table1[[#This Row],[V]])</f>
        <v>8.8000000000000007</v>
      </c>
      <c r="D10">
        <f>LOG(Table1[[#This Row],[ABS (V)]])</f>
        <v>0.94448267215016868</v>
      </c>
      <c r="N10">
        <f>Table1[[#This Row],[T]]-A12</f>
        <v>3.9999999999999996E-5</v>
      </c>
      <c r="O10">
        <f>2*PI()/Table2[[#This Row],[T]]</f>
        <v>157079.63267948967</v>
      </c>
    </row>
    <row r="11" spans="1:24" x14ac:dyDescent="0.3">
      <c r="A11">
        <v>6.4199999999999999E-4</v>
      </c>
      <c r="B11">
        <v>8.4</v>
      </c>
      <c r="C11">
        <f>ABS(Table1[[#This Row],[V]])</f>
        <v>8.4</v>
      </c>
      <c r="D11">
        <f>LOG(Table1[[#This Row],[ABS (V)]])</f>
        <v>0.9242792860618817</v>
      </c>
      <c r="N11">
        <f>Table1[[#This Row],[T]]-A13</f>
        <v>3.7999999999999948E-5</v>
      </c>
      <c r="O11">
        <f>2*PI()/Table2[[#This Row],[T]]</f>
        <v>165346.98176788408</v>
      </c>
    </row>
    <row r="12" spans="1:24" x14ac:dyDescent="0.3">
      <c r="A12">
        <v>6.2399999999999999E-4</v>
      </c>
      <c r="B12">
        <v>-7.6</v>
      </c>
      <c r="C12">
        <f>ABS(Table1[[#This Row],[V]])</f>
        <v>7.6</v>
      </c>
      <c r="D12">
        <f>LOG(Table1[[#This Row],[ABS (V)]])</f>
        <v>0.88081359228079137</v>
      </c>
      <c r="N12">
        <f>Table1[[#This Row],[T]]-A14</f>
        <v>4.1999999999999937E-5</v>
      </c>
      <c r="O12">
        <f>2*PI()/Table2[[#This Row],[T]]</f>
        <v>149599.65017094277</v>
      </c>
    </row>
    <row r="13" spans="1:24" x14ac:dyDescent="0.3">
      <c r="A13" s="3">
        <v>6.0400000000000004E-4</v>
      </c>
      <c r="B13">
        <v>6.8</v>
      </c>
      <c r="C13">
        <f>ABS(Table1[[#This Row],[V]])</f>
        <v>6.8</v>
      </c>
      <c r="D13">
        <f>LOG(Table1[[#This Row],[ABS (V)]])</f>
        <v>0.83250891270623628</v>
      </c>
      <c r="N13">
        <f>Table1[[#This Row],[T]]-A15</f>
        <v>4.2000000000000045E-5</v>
      </c>
      <c r="O13">
        <f>2*PI()/Table2[[#This Row],[T]]</f>
        <v>149599.65017094236</v>
      </c>
    </row>
    <row r="14" spans="1:24" x14ac:dyDescent="0.3">
      <c r="A14">
        <v>5.8200000000000005E-4</v>
      </c>
      <c r="B14">
        <v>-5.2</v>
      </c>
      <c r="C14">
        <f>ABS(Table1[[#This Row],[V]])</f>
        <v>5.2</v>
      </c>
      <c r="D14">
        <f>LOG(Table1[[#This Row],[ABS (V)]])</f>
        <v>0.71600334363479923</v>
      </c>
      <c r="N14">
        <f>Table1[[#This Row],[T]]-A16</f>
        <v>4.4000000000000094E-5</v>
      </c>
      <c r="O14">
        <f>2*PI()/Table2[[#This Row],[T]]</f>
        <v>142799.66607226303</v>
      </c>
    </row>
    <row r="15" spans="1:24" x14ac:dyDescent="0.3">
      <c r="A15">
        <v>5.62E-4</v>
      </c>
      <c r="B15">
        <v>4</v>
      </c>
      <c r="C15">
        <f>ABS(Table1[[#This Row],[V]])</f>
        <v>4</v>
      </c>
      <c r="D15">
        <f>LOG(Table1[[#This Row],[ABS (V)]])</f>
        <v>0.6020599913279624</v>
      </c>
      <c r="N15">
        <f>Table1[[#This Row],[T]]-A17</f>
        <v>4.6000000000000034E-5</v>
      </c>
      <c r="O15">
        <f>2*PI()/Table2[[#This Row],[T]]</f>
        <v>136590.98493868657</v>
      </c>
    </row>
    <row r="16" spans="1:24" x14ac:dyDescent="0.3">
      <c r="A16">
        <v>5.3799999999999996E-4</v>
      </c>
      <c r="B16">
        <v>-4</v>
      </c>
      <c r="C16">
        <f>ABS(Table1[[#This Row],[V]])</f>
        <v>4</v>
      </c>
      <c r="D16">
        <f>LOG(Table1[[#This Row],[ABS (V)]])</f>
        <v>0.6020599913279624</v>
      </c>
      <c r="N16">
        <f>Table1[[#This Row],[T]]-A18</f>
        <v>3.9999999999999996E-5</v>
      </c>
      <c r="O16">
        <f>2*PI()/Table2[[#This Row],[T]]</f>
        <v>157079.63267948967</v>
      </c>
    </row>
    <row r="17" spans="1:15" x14ac:dyDescent="0.3">
      <c r="A17">
        <v>5.1599999999999997E-4</v>
      </c>
      <c r="B17">
        <v>4</v>
      </c>
      <c r="C17">
        <f>ABS(Table1[[#This Row],[V]])</f>
        <v>4</v>
      </c>
      <c r="D17">
        <f>LOG(Table1[[#This Row],[ABS (V)]])</f>
        <v>0.6020599913279624</v>
      </c>
      <c r="N17">
        <f>Table1[[#This Row],[T]]-A19</f>
        <v>3.9999999999999942E-5</v>
      </c>
      <c r="O17">
        <f>2*PI()/Table2[[#This Row],[T]]</f>
        <v>157079.63267948988</v>
      </c>
    </row>
    <row r="18" spans="1:15" x14ac:dyDescent="0.3">
      <c r="A18">
        <v>4.9799999999999996E-4</v>
      </c>
      <c r="B18">
        <v>-3.2</v>
      </c>
      <c r="C18">
        <f>ABS(Table1[[#This Row],[V]])</f>
        <v>3.2</v>
      </c>
      <c r="D18">
        <f>LOG(Table1[[#This Row],[ABS (V)]])</f>
        <v>0.50514997831990605</v>
      </c>
      <c r="N18">
        <f>Table1[[#This Row],[T]]-A20</f>
        <v>4.1999999999999937E-5</v>
      </c>
      <c r="O18">
        <f>2*PI()/Table2[[#This Row],[T]]</f>
        <v>149599.65017094277</v>
      </c>
    </row>
    <row r="19" spans="1:15" x14ac:dyDescent="0.3">
      <c r="A19">
        <v>4.7600000000000002E-4</v>
      </c>
      <c r="B19">
        <v>2.8</v>
      </c>
      <c r="C19">
        <f>ABS(Table1[[#This Row],[V]])</f>
        <v>2.8</v>
      </c>
      <c r="D19">
        <f>LOG(Table1[[#This Row],[ABS (V)]])</f>
        <v>0.44715803134221921</v>
      </c>
      <c r="N19">
        <f>Table1[[#This Row],[T]]-A21</f>
        <v>3.6000000000000008E-5</v>
      </c>
      <c r="O19">
        <f>2*PI()/Table2[[#This Row],[T]]</f>
        <v>174532.92519943291</v>
      </c>
    </row>
    <row r="20" spans="1:15" x14ac:dyDescent="0.3">
      <c r="A20">
        <v>4.5600000000000003E-4</v>
      </c>
      <c r="B20">
        <v>-2</v>
      </c>
      <c r="C20">
        <f>ABS(Table1[[#This Row],[V]])</f>
        <v>2</v>
      </c>
      <c r="D20">
        <f>LOG(Table1[[#This Row],[ABS (V)]])</f>
        <v>0.3010299956639812</v>
      </c>
      <c r="N20">
        <f>Table1[[#This Row],[T]]-A22</f>
        <v>4.0000000000000051E-5</v>
      </c>
      <c r="O20">
        <f>2*PI()/Table2[[#This Row],[T]]</f>
        <v>157079.63267948947</v>
      </c>
    </row>
    <row r="21" spans="1:15" x14ac:dyDescent="0.3">
      <c r="A21">
        <v>4.4000000000000002E-4</v>
      </c>
      <c r="B21">
        <v>1.6</v>
      </c>
      <c r="C21">
        <f>ABS(Table1[[#This Row],[V]])</f>
        <v>1.6</v>
      </c>
      <c r="D21">
        <f>LOG(Table1[[#This Row],[ABS (V)]])</f>
        <v>0.20411998265592479</v>
      </c>
      <c r="N21">
        <f>Table1[[#This Row],[T]]-A23</f>
        <v>5.0000000000000023E-5</v>
      </c>
      <c r="O21">
        <f>2*PI()/Table2[[#This Row],[T]]</f>
        <v>125663.70614359167</v>
      </c>
    </row>
    <row r="22" spans="1:15" x14ac:dyDescent="0.3">
      <c r="A22">
        <v>4.1599999999999997E-4</v>
      </c>
      <c r="B22">
        <v>-1.6</v>
      </c>
      <c r="C22">
        <f>ABS(Table1[[#This Row],[V]])</f>
        <v>1.6</v>
      </c>
      <c r="D22">
        <f>LOG(Table1[[#This Row],[ABS (V)]])</f>
        <v>0.20411998265592479</v>
      </c>
      <c r="N22">
        <f>Table1[[#This Row],[T]]-A24</f>
        <v>4.3999999999999985E-5</v>
      </c>
      <c r="O22">
        <f>2*PI()/Table2[[#This Row],[T]]</f>
        <v>142799.66607226338</v>
      </c>
    </row>
    <row r="23" spans="1:15" x14ac:dyDescent="0.3">
      <c r="A23">
        <v>3.8999999999999999E-4</v>
      </c>
      <c r="B23">
        <v>1.6</v>
      </c>
      <c r="C23">
        <f>ABS(Table1[[#This Row],[V]])</f>
        <v>1.6</v>
      </c>
      <c r="D23">
        <f>LOG(Table1[[#This Row],[ABS (V)]])</f>
        <v>0.20411998265592479</v>
      </c>
      <c r="N23">
        <f>Table1[[#This Row],[T]]-A25</f>
        <v>3.8999999999999999E-4</v>
      </c>
      <c r="O23">
        <f>2*PI()/Table2[[#This Row],[T]]</f>
        <v>16110.731556870734</v>
      </c>
    </row>
    <row r="24" spans="1:15" x14ac:dyDescent="0.3">
      <c r="A24">
        <v>3.7199999999999999E-4</v>
      </c>
      <c r="B24">
        <v>-1.6</v>
      </c>
      <c r="C24">
        <f>ABS(Table1[[#This Row],[V]])</f>
        <v>1.6</v>
      </c>
      <c r="D24">
        <f>LOG(Table1[[#This Row],[ABS (V)]])</f>
        <v>0.20411998265592479</v>
      </c>
      <c r="N24">
        <f>Table1[[#This Row],[T]]-A26</f>
        <v>3.7199999999999999E-4</v>
      </c>
      <c r="O24">
        <f>2*PI()/Table2[[#This Row],[T]]</f>
        <v>16890.283083816092</v>
      </c>
    </row>
    <row r="25" spans="1:15" x14ac:dyDescent="0.3">
      <c r="C25">
        <f>ABS(Table1[[#This Row],[V]])</f>
        <v>0</v>
      </c>
      <c r="D25" t="e">
        <f>LOG(Table1[[#This Row],[ABS (V)]])</f>
        <v>#NUM!</v>
      </c>
      <c r="N25">
        <f>Table1[[#This Row],[T]]-A27</f>
        <v>0</v>
      </c>
      <c r="O25" t="e">
        <f>2*PI()/Table2[[#This Row],[T]]</f>
        <v>#DIV/0!</v>
      </c>
    </row>
    <row r="26" spans="1:15" x14ac:dyDescent="0.3">
      <c r="C26">
        <f>ABS(Table1[[#This Row],[V]])</f>
        <v>0</v>
      </c>
      <c r="D26" t="e">
        <f>LOG(Table1[[#This Row],[ABS (V)]])</f>
        <v>#NUM!</v>
      </c>
      <c r="N26">
        <f>Table1[[#This Row],[T]]-A28</f>
        <v>0</v>
      </c>
      <c r="O26" t="e">
        <f>2*PI()/Table2[[#This Row],[T]]</f>
        <v>#DIV/0!</v>
      </c>
    </row>
    <row r="27" spans="1:15" x14ac:dyDescent="0.3">
      <c r="C27">
        <f>ABS(Table1[[#This Row],[V]])</f>
        <v>0</v>
      </c>
      <c r="D27" t="e">
        <f>LOG(Table1[[#This Row],[ABS (V)]])</f>
        <v>#NUM!</v>
      </c>
      <c r="N27">
        <f>Table1[[#This Row],[T]]-A29</f>
        <v>0</v>
      </c>
      <c r="O27" t="e">
        <f>2*PI()/Table2[[#This Row],[T]]</f>
        <v>#DIV/0!</v>
      </c>
    </row>
    <row r="28" spans="1:15" x14ac:dyDescent="0.3">
      <c r="C28">
        <f>ABS(Table1[[#This Row],[V]])</f>
        <v>0</v>
      </c>
      <c r="D28" t="e">
        <f>LOG(Table1[[#This Row],[ABS (V)]])</f>
        <v>#NUM!</v>
      </c>
      <c r="N28">
        <f>Table1[[#This Row],[T]]-A30</f>
        <v>0</v>
      </c>
      <c r="O28" t="e">
        <f>2*PI()/Table2[[#This Row],[T]]</f>
        <v>#DIV/0!</v>
      </c>
    </row>
    <row r="29" spans="1:15" x14ac:dyDescent="0.3">
      <c r="C29">
        <f>ABS(Table1[[#This Row],[V]])</f>
        <v>0</v>
      </c>
      <c r="D29" t="e">
        <f>LOG(Table1[[#This Row],[ABS (V)]])</f>
        <v>#NUM!</v>
      </c>
      <c r="N29">
        <f>Table1[[#This Row],[T]]-A31</f>
        <v>0</v>
      </c>
      <c r="O29" t="e">
        <f>2*PI()/Table2[[#This Row],[T]]</f>
        <v>#DIV/0!</v>
      </c>
    </row>
    <row r="30" spans="1:15" x14ac:dyDescent="0.3">
      <c r="C30">
        <f>ABS(Table1[[#This Row],[V]])</f>
        <v>0</v>
      </c>
      <c r="D30" t="e">
        <f>LOG(Table1[[#This Row],[ABS (V)]])</f>
        <v>#NUM!</v>
      </c>
      <c r="N30">
        <f>Table1[[#This Row],[T]]-A32</f>
        <v>0</v>
      </c>
      <c r="O30" t="e">
        <f>2*PI()/Table2[[#This Row],[T]]</f>
        <v>#DIV/0!</v>
      </c>
    </row>
    <row r="31" spans="1:15" x14ac:dyDescent="0.3">
      <c r="C31">
        <f>ABS(Table1[[#This Row],[V]])</f>
        <v>0</v>
      </c>
      <c r="D31" t="e">
        <f>LOG(Table1[[#This Row],[ABS (V)]])</f>
        <v>#NUM!</v>
      </c>
      <c r="N31">
        <f>Table1[[#This Row],[T]]-A33</f>
        <v>0</v>
      </c>
      <c r="O31" t="e">
        <f>2*PI()/Table2[[#This Row],[T]]</f>
        <v>#DIV/0!</v>
      </c>
    </row>
    <row r="32" spans="1:15" x14ac:dyDescent="0.3">
      <c r="N32" t="e">
        <f>Table1[[#This Row],[T]]-A34</f>
        <v>#VALUE!</v>
      </c>
      <c r="O32" t="e">
        <f>2*PI()/Table2[[#This Row],[T]]</f>
        <v>#VALUE!</v>
      </c>
    </row>
  </sheetData>
  <pageMargins left="0.7" right="0.7" top="0.75" bottom="0.75" header="0.3" footer="0.3"/>
  <pageSetup paperSize="9" orientation="portrait" horizontalDpi="0" verticalDpi="0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D90E6-1FE9-4025-8168-E3306C8C7427}">
  <dimension ref="A1:D24"/>
  <sheetViews>
    <sheetView workbookViewId="0">
      <selection activeCell="F1" sqref="F1:G2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3.7199999999999999E-4</v>
      </c>
      <c r="B2">
        <v>-35.6</v>
      </c>
      <c r="C2">
        <v>35.6</v>
      </c>
      <c r="D2">
        <v>1.5514499979728751</v>
      </c>
    </row>
    <row r="3" spans="1:4" x14ac:dyDescent="0.3">
      <c r="A3">
        <v>3.8999999999999999E-4</v>
      </c>
      <c r="B3">
        <v>28.8</v>
      </c>
      <c r="C3">
        <v>28.8</v>
      </c>
      <c r="D3">
        <v>1.4593924877592308</v>
      </c>
    </row>
    <row r="4" spans="1:4" x14ac:dyDescent="0.3">
      <c r="A4">
        <v>4.1599999999999997E-4</v>
      </c>
      <c r="B4">
        <v>-21.6</v>
      </c>
      <c r="C4">
        <v>21.6</v>
      </c>
      <c r="D4">
        <v>1.3344537511509309</v>
      </c>
    </row>
    <row r="5" spans="1:4" x14ac:dyDescent="0.3">
      <c r="A5">
        <v>4.4000000000000002E-4</v>
      </c>
      <c r="B5">
        <v>19.600000000000001</v>
      </c>
      <c r="C5">
        <v>19.600000000000001</v>
      </c>
      <c r="D5">
        <v>1.2922560713564761</v>
      </c>
    </row>
    <row r="6" spans="1:4" x14ac:dyDescent="0.3">
      <c r="A6">
        <v>4.5600000000000003E-4</v>
      </c>
      <c r="B6">
        <v>-18</v>
      </c>
      <c r="C6">
        <v>18</v>
      </c>
      <c r="D6">
        <v>1.255272505103306</v>
      </c>
    </row>
    <row r="7" spans="1:4" x14ac:dyDescent="0.3">
      <c r="A7">
        <v>4.7600000000000002E-4</v>
      </c>
      <c r="B7">
        <v>16.8</v>
      </c>
      <c r="C7">
        <v>16.8</v>
      </c>
      <c r="D7">
        <v>1.2253092817258628</v>
      </c>
    </row>
    <row r="8" spans="1:4" x14ac:dyDescent="0.3">
      <c r="A8">
        <v>4.9799999999999996E-4</v>
      </c>
      <c r="B8">
        <v>-14.4</v>
      </c>
      <c r="C8">
        <v>14.4</v>
      </c>
      <c r="D8">
        <v>1.1583624920952498</v>
      </c>
    </row>
    <row r="9" spans="1:4" x14ac:dyDescent="0.3">
      <c r="A9">
        <v>5.1599999999999997E-4</v>
      </c>
      <c r="B9">
        <v>10.4</v>
      </c>
      <c r="C9">
        <v>10.4</v>
      </c>
      <c r="D9">
        <v>1.0170333392987803</v>
      </c>
    </row>
    <row r="10" spans="1:4" x14ac:dyDescent="0.3">
      <c r="A10">
        <v>5.3799999999999996E-4</v>
      </c>
      <c r="B10">
        <v>-8.8000000000000007</v>
      </c>
      <c r="C10">
        <v>8.8000000000000007</v>
      </c>
      <c r="D10">
        <v>0.94448267215016868</v>
      </c>
    </row>
    <row r="11" spans="1:4" x14ac:dyDescent="0.3">
      <c r="A11">
        <v>5.62E-4</v>
      </c>
      <c r="B11">
        <v>8.4</v>
      </c>
      <c r="C11">
        <v>8.4</v>
      </c>
      <c r="D11">
        <v>0.9242792860618817</v>
      </c>
    </row>
    <row r="12" spans="1:4" x14ac:dyDescent="0.3">
      <c r="A12">
        <v>5.8200000000000005E-4</v>
      </c>
      <c r="B12">
        <v>-7.6</v>
      </c>
      <c r="C12">
        <v>7.6</v>
      </c>
      <c r="D12">
        <v>0.88081359228079137</v>
      </c>
    </row>
    <row r="13" spans="1:4" x14ac:dyDescent="0.3">
      <c r="A13">
        <v>6.0400000000000004E-4</v>
      </c>
      <c r="B13">
        <v>6.8</v>
      </c>
      <c r="C13">
        <v>6.8</v>
      </c>
      <c r="D13">
        <v>0.83250891270623628</v>
      </c>
    </row>
    <row r="14" spans="1:4" x14ac:dyDescent="0.3">
      <c r="A14">
        <v>6.2399999999999999E-4</v>
      </c>
      <c r="B14">
        <v>-5.2</v>
      </c>
      <c r="C14">
        <v>5.2</v>
      </c>
      <c r="D14">
        <v>0.71600334363479923</v>
      </c>
    </row>
    <row r="15" spans="1:4" x14ac:dyDescent="0.3">
      <c r="A15">
        <v>6.4199999999999999E-4</v>
      </c>
      <c r="B15">
        <v>4</v>
      </c>
      <c r="C15">
        <v>4</v>
      </c>
      <c r="D15">
        <v>0.6020599913279624</v>
      </c>
    </row>
    <row r="16" spans="1:4" x14ac:dyDescent="0.3">
      <c r="A16">
        <v>6.6399999999999999E-4</v>
      </c>
      <c r="B16">
        <v>-4</v>
      </c>
      <c r="C16">
        <v>4</v>
      </c>
      <c r="D16">
        <v>0.6020599913279624</v>
      </c>
    </row>
    <row r="17" spans="1:4" x14ac:dyDescent="0.3">
      <c r="A17">
        <v>6.8599999999999998E-4</v>
      </c>
      <c r="B17">
        <v>4</v>
      </c>
      <c r="C17">
        <v>4</v>
      </c>
      <c r="D17">
        <v>0.6020599913279624</v>
      </c>
    </row>
    <row r="18" spans="1:4" x14ac:dyDescent="0.3">
      <c r="A18">
        <v>7.0799999999999997E-4</v>
      </c>
      <c r="B18">
        <v>-3.2</v>
      </c>
      <c r="C18">
        <v>3.2</v>
      </c>
      <c r="D18">
        <v>0.50514997831990605</v>
      </c>
    </row>
    <row r="19" spans="1:4" x14ac:dyDescent="0.3">
      <c r="A19">
        <v>7.2599999999999997E-4</v>
      </c>
      <c r="B19">
        <v>2.8</v>
      </c>
      <c r="C19">
        <v>2.8</v>
      </c>
      <c r="D19">
        <v>0.44715803134221921</v>
      </c>
    </row>
    <row r="20" spans="1:4" x14ac:dyDescent="0.3">
      <c r="A20">
        <v>7.4600000000000003E-4</v>
      </c>
      <c r="B20">
        <v>-2</v>
      </c>
      <c r="C20">
        <v>2</v>
      </c>
      <c r="D20">
        <v>0.3010299956639812</v>
      </c>
    </row>
    <row r="21" spans="1:4" x14ac:dyDescent="0.3">
      <c r="A21">
        <v>7.6999999999999996E-4</v>
      </c>
      <c r="B21">
        <v>1.6</v>
      </c>
      <c r="C21">
        <v>1.6</v>
      </c>
      <c r="D21">
        <v>0.20411998265592479</v>
      </c>
    </row>
    <row r="22" spans="1:4" x14ac:dyDescent="0.3">
      <c r="A22">
        <v>7.9199999999999995E-4</v>
      </c>
      <c r="B22">
        <v>-1.6</v>
      </c>
      <c r="C22">
        <v>1.6</v>
      </c>
      <c r="D22">
        <v>0.20411998265592479</v>
      </c>
    </row>
    <row r="23" spans="1:4" x14ac:dyDescent="0.3">
      <c r="A23">
        <v>8.12E-4</v>
      </c>
      <c r="B23">
        <v>1.6</v>
      </c>
      <c r="C23">
        <v>1.6</v>
      </c>
      <c r="D23">
        <v>0.20411998265592479</v>
      </c>
    </row>
    <row r="24" spans="1:4" x14ac:dyDescent="0.3">
      <c r="A24">
        <v>8.3199999999999995E-4</v>
      </c>
      <c r="B24">
        <v>-1.6</v>
      </c>
      <c r="C24">
        <v>1.6</v>
      </c>
      <c r="D24">
        <v>0.20411998265592479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31BE4-D6BD-4F7D-BF3F-18AFF9B80C36}">
  <dimension ref="A1:Y32"/>
  <sheetViews>
    <sheetView topLeftCell="D1" zoomScale="90" workbookViewId="0">
      <selection activeCell="X6" sqref="X6"/>
    </sheetView>
  </sheetViews>
  <sheetFormatPr defaultRowHeight="14.4" x14ac:dyDescent="0.3"/>
  <cols>
    <col min="1" max="3" width="10.33203125" customWidth="1"/>
    <col min="15" max="16" width="10.33203125" customWidth="1"/>
    <col min="19" max="19" width="11.109375" bestFit="1" customWidth="1"/>
    <col min="20" max="21" width="13.33203125" bestFit="1" customWidth="1"/>
    <col min="23" max="23" width="8.77734375" customWidth="1"/>
    <col min="24" max="25" width="12.21875" bestFit="1" customWidth="1"/>
  </cols>
  <sheetData>
    <row r="1" spans="1:25" x14ac:dyDescent="0.3">
      <c r="A1" t="s">
        <v>0</v>
      </c>
      <c r="B1" t="s">
        <v>15</v>
      </c>
      <c r="C1" t="s">
        <v>1</v>
      </c>
      <c r="D1" t="s">
        <v>2</v>
      </c>
      <c r="E1" t="s">
        <v>3</v>
      </c>
      <c r="K1" t="s">
        <v>16</v>
      </c>
      <c r="O1" t="s">
        <v>0</v>
      </c>
      <c r="P1" t="s">
        <v>4</v>
      </c>
    </row>
    <row r="2" spans="1:25" x14ac:dyDescent="0.3">
      <c r="A2">
        <v>8.8199999999999997E-4</v>
      </c>
      <c r="B2">
        <v>-200</v>
      </c>
      <c r="C2">
        <f>Table15[[#This Row],[Colonna1]]+$K$2</f>
        <v>-202</v>
      </c>
      <c r="D2">
        <f>ABS(Table15[[#This Row],[V]])</f>
        <v>202</v>
      </c>
      <c r="E2">
        <f>LOG(Table15[[#This Row],[ABS (V)]])</f>
        <v>2.3053513694466239</v>
      </c>
      <c r="K2">
        <v>-2</v>
      </c>
      <c r="O2">
        <f>Table15[[#This Row],[T]]-A4</f>
        <v>4.7999999999999974E-5</v>
      </c>
      <c r="P2">
        <f>2*PI()/Table26[[#This Row],[T]]</f>
        <v>130899.69389957478</v>
      </c>
    </row>
    <row r="3" spans="1:25" x14ac:dyDescent="0.3">
      <c r="A3">
        <v>8.5800000000000004E-4</v>
      </c>
      <c r="B3">
        <v>156</v>
      </c>
      <c r="C3">
        <f>Table15[[#This Row],[Colonna1]]+$K$2</f>
        <v>154</v>
      </c>
      <c r="D3">
        <f>ABS(Table15[[#This Row],[V]])</f>
        <v>154</v>
      </c>
      <c r="E3">
        <f>LOG(Table15[[#This Row],[ABS (V)]])</f>
        <v>2.1875207208364631</v>
      </c>
      <c r="O3">
        <f>A5-A7</f>
        <v>4.6000000000000034E-5</v>
      </c>
      <c r="P3">
        <f>2*PI()/Table26[[#This Row],[T]]</f>
        <v>136590.98493868657</v>
      </c>
    </row>
    <row r="4" spans="1:25" x14ac:dyDescent="0.3">
      <c r="A4">
        <v>8.34E-4</v>
      </c>
      <c r="B4">
        <v>-120</v>
      </c>
      <c r="C4">
        <f>Table15[[#This Row],[Colonna1]]+$K$2</f>
        <v>-122</v>
      </c>
      <c r="D4">
        <f>ABS(Table15[[#This Row],[V]])</f>
        <v>122</v>
      </c>
      <c r="E4">
        <f>LOG(Table15[[#This Row],[ABS (V)]])</f>
        <v>2.0863598306747484</v>
      </c>
      <c r="G4" s="1" t="s">
        <v>5</v>
      </c>
      <c r="H4" s="1" t="s">
        <v>6</v>
      </c>
      <c r="I4" s="1" t="s">
        <v>7</v>
      </c>
      <c r="K4" t="s">
        <v>14</v>
      </c>
      <c r="O4">
        <f>A8-A10</f>
        <v>4.6000000000000034E-5</v>
      </c>
      <c r="P4">
        <f>2*PI()/Table26[[#This Row],[T]]</f>
        <v>136590.98493868657</v>
      </c>
      <c r="R4" s="1" t="s">
        <v>12</v>
      </c>
      <c r="S4" s="1" t="s">
        <v>4</v>
      </c>
      <c r="T4" s="5" t="s">
        <v>8</v>
      </c>
      <c r="U4" s="4" t="s">
        <v>21</v>
      </c>
      <c r="W4" s="1" t="s">
        <v>18</v>
      </c>
      <c r="X4" s="1" t="s">
        <v>19</v>
      </c>
      <c r="Y4" s="1" t="s">
        <v>20</v>
      </c>
    </row>
    <row r="5" spans="1:25" x14ac:dyDescent="0.3">
      <c r="A5">
        <v>8.12E-4</v>
      </c>
      <c r="B5">
        <v>108</v>
      </c>
      <c r="C5">
        <f>Table15[[#This Row],[Colonna1]]+$K$2</f>
        <v>106</v>
      </c>
      <c r="D5">
        <f>ABS(Table15[[#This Row],[V]])</f>
        <v>106</v>
      </c>
      <c r="E5">
        <f>LOG(Table15[[#This Row],[ABS (V)]])</f>
        <v>2.0253058652647704</v>
      </c>
      <c r="G5" s="1">
        <v>230</v>
      </c>
      <c r="H5" s="1">
        <f>3041.4*2</f>
        <v>6082.8</v>
      </c>
      <c r="I5" s="1">
        <f>G5/H5</f>
        <v>3.7811534161899127E-2</v>
      </c>
      <c r="K5">
        <v>3509</v>
      </c>
      <c r="O5">
        <f>A11-A13</f>
        <v>4.5999999999999925E-5</v>
      </c>
      <c r="P5">
        <f>2*PI()/Table26[[#This Row],[T]]</f>
        <v>136590.98493868689</v>
      </c>
      <c r="R5" s="1">
        <v>1</v>
      </c>
      <c r="S5" s="1">
        <f>Table26[[#This Row],[ω]]</f>
        <v>136590.98493868689</v>
      </c>
      <c r="T5" s="5">
        <f>1/(S5^2*R5)*10^12</f>
        <v>53.598906146796502</v>
      </c>
      <c r="U5" s="1">
        <f>(2*(X5/S5)+Y5/R5)*T5</f>
        <v>4.6607744475475181</v>
      </c>
      <c r="W5" s="1">
        <f>2*10^-6</f>
        <v>1.9999999999999999E-6</v>
      </c>
      <c r="X5" s="1">
        <f>(W5/O3)*S5</f>
        <v>5938.738475595077</v>
      </c>
      <c r="Y5" s="1"/>
    </row>
    <row r="6" spans="1:25" x14ac:dyDescent="0.3">
      <c r="A6">
        <v>7.8799999999999996E-4</v>
      </c>
      <c r="B6">
        <v>-90</v>
      </c>
      <c r="C6">
        <f>Table15[[#This Row],[Colonna1]]+$K$2</f>
        <v>-92</v>
      </c>
      <c r="D6">
        <f>ABS(Table15[[#This Row],[V]])</f>
        <v>92</v>
      </c>
      <c r="E6">
        <f>LOG(Table15[[#This Row],[ABS (V)]])</f>
        <v>1.9637878273455553</v>
      </c>
      <c r="P6" t="e">
        <f>2*PI()/Table26[[#This Row],[T]]</f>
        <v>#DIV/0!</v>
      </c>
    </row>
    <row r="7" spans="1:25" x14ac:dyDescent="0.3">
      <c r="A7">
        <v>7.6599999999999997E-4</v>
      </c>
      <c r="B7">
        <v>70</v>
      </c>
      <c r="C7">
        <f>Table15[[#This Row],[Colonna1]]+$K$2</f>
        <v>68</v>
      </c>
      <c r="D7">
        <f>ABS(Table15[[#This Row],[V]])</f>
        <v>68</v>
      </c>
      <c r="E7">
        <f>LOG(Table15[[#This Row],[ABS (V)]])</f>
        <v>1.8325089127062364</v>
      </c>
      <c r="P7" t="e">
        <f>2*PI()/Table26[[#This Row],[T]]</f>
        <v>#DIV/0!</v>
      </c>
      <c r="S7" s="1" t="s">
        <v>13</v>
      </c>
      <c r="T7" s="5" t="s">
        <v>22</v>
      </c>
    </row>
    <row r="8" spans="1:25" x14ac:dyDescent="0.3">
      <c r="A8">
        <v>7.4200000000000004E-4</v>
      </c>
      <c r="B8">
        <v>-54</v>
      </c>
      <c r="C8">
        <f>Table15[[#This Row],[Colonna1]]+$K$2</f>
        <v>-56</v>
      </c>
      <c r="D8">
        <f>ABS(Table15[[#This Row],[V]])</f>
        <v>56</v>
      </c>
      <c r="E8">
        <f>LOG(Table15[[#This Row],[ABS (V)]])</f>
        <v>1.7481880270062005</v>
      </c>
      <c r="P8" t="e">
        <f>2*PI()/Table26[[#This Row],[T]]</f>
        <v>#DIV/0!</v>
      </c>
      <c r="S8" s="1">
        <v>43</v>
      </c>
      <c r="T8" s="5">
        <f>ABS(T5-S8)/S8*100</f>
        <v>24.648618946038376</v>
      </c>
      <c r="W8" s="6">
        <f>0.000882</f>
        <v>8.8199999999999997E-4</v>
      </c>
    </row>
    <row r="9" spans="1:25" x14ac:dyDescent="0.3">
      <c r="A9">
        <v>7.1599999999999995E-4</v>
      </c>
      <c r="B9">
        <v>52</v>
      </c>
      <c r="C9">
        <f>Table15[[#This Row],[Colonna1]]+$K$2</f>
        <v>50</v>
      </c>
      <c r="D9">
        <f>ABS(Table15[[#This Row],[V]])</f>
        <v>50</v>
      </c>
      <c r="E9">
        <f>LOG(Table15[[#This Row],[ABS (V)]])</f>
        <v>1.6989700043360187</v>
      </c>
      <c r="P9" t="e">
        <f>2*PI()/Table26[[#This Row],[T]]</f>
        <v>#DIV/0!</v>
      </c>
    </row>
    <row r="10" spans="1:25" x14ac:dyDescent="0.3">
      <c r="A10">
        <v>6.96E-4</v>
      </c>
      <c r="B10">
        <v>-38</v>
      </c>
      <c r="C10">
        <f>Table15[[#This Row],[Colonna1]]+$K$2</f>
        <v>-40</v>
      </c>
      <c r="D10">
        <f>ABS(Table15[[#This Row],[V]])</f>
        <v>40</v>
      </c>
      <c r="E10">
        <f>LOG(Table15[[#This Row],[ABS (V)]])</f>
        <v>1.6020599913279623</v>
      </c>
      <c r="P10" t="e">
        <f>2*PI()/Table26[[#This Row],[T]]</f>
        <v>#DIV/0!</v>
      </c>
    </row>
    <row r="11" spans="1:25" x14ac:dyDescent="0.3">
      <c r="A11">
        <v>6.7199999999999996E-4</v>
      </c>
      <c r="B11">
        <v>30</v>
      </c>
      <c r="C11">
        <f>Table15[[#This Row],[Colonna1]]+$K$2</f>
        <v>28</v>
      </c>
      <c r="D11">
        <f>ABS(Table15[[#This Row],[V]])</f>
        <v>28</v>
      </c>
      <c r="E11">
        <f>LOG(Table15[[#This Row],[ABS (V)]])</f>
        <v>1.4471580313422192</v>
      </c>
      <c r="P11" t="e">
        <f>2*PI()/Table26[[#This Row],[T]]</f>
        <v>#DIV/0!</v>
      </c>
    </row>
    <row r="12" spans="1:25" x14ac:dyDescent="0.3">
      <c r="A12">
        <v>6.4800000000000003E-4</v>
      </c>
      <c r="B12">
        <v>-24</v>
      </c>
      <c r="C12">
        <f>Table15[[#This Row],[Colonna1]]+$K$2</f>
        <v>-26</v>
      </c>
      <c r="D12">
        <f>ABS(Table15[[#This Row],[V]])</f>
        <v>26</v>
      </c>
      <c r="E12">
        <f>LOG(Table15[[#This Row],[ABS (V)]])</f>
        <v>1.414973347970818</v>
      </c>
      <c r="P12" t="e">
        <f>2*PI()/Table26[[#This Row],[T]]</f>
        <v>#DIV/0!</v>
      </c>
    </row>
    <row r="13" spans="1:25" x14ac:dyDescent="0.3">
      <c r="A13">
        <v>6.2600000000000004E-4</v>
      </c>
      <c r="B13">
        <v>26</v>
      </c>
      <c r="C13">
        <f>Table15[[#This Row],[Colonna1]]+$K$2</f>
        <v>24</v>
      </c>
      <c r="D13">
        <f>ABS(Table15[[#This Row],[V]])</f>
        <v>24</v>
      </c>
      <c r="E13">
        <f>LOG(Table15[[#This Row],[ABS (V)]])</f>
        <v>1.3802112417116059</v>
      </c>
      <c r="P13" t="e">
        <f>2*PI()/Table26[[#This Row],[T]]</f>
        <v>#DIV/0!</v>
      </c>
    </row>
    <row r="14" spans="1:25" x14ac:dyDescent="0.3">
      <c r="A14">
        <v>6.0400000000000004E-4</v>
      </c>
      <c r="B14">
        <v>-16</v>
      </c>
      <c r="C14">
        <f>Table15[[#This Row],[Colonna1]]+$K$2</f>
        <v>-18</v>
      </c>
      <c r="D14">
        <f>ABS(Table15[[#This Row],[V]])</f>
        <v>18</v>
      </c>
      <c r="E14">
        <f>LOG(Table15[[#This Row],[ABS (V)]])</f>
        <v>1.255272505103306</v>
      </c>
      <c r="P14" t="e">
        <f>2*PI()/Table26[[#This Row],[T]]</f>
        <v>#DIV/0!</v>
      </c>
    </row>
    <row r="15" spans="1:25" x14ac:dyDescent="0.3">
      <c r="A15">
        <v>5.7799999999999995E-4</v>
      </c>
      <c r="B15">
        <v>16</v>
      </c>
      <c r="C15">
        <f>Table15[[#This Row],[Colonna1]]+$K$2</f>
        <v>14</v>
      </c>
      <c r="D15">
        <f>ABS(Table15[[#This Row],[V]])</f>
        <v>14</v>
      </c>
      <c r="E15">
        <f>LOG(Table15[[#This Row],[ABS (V)]])</f>
        <v>1.146128035678238</v>
      </c>
      <c r="P15" t="e">
        <f>2*PI()/Table26[[#This Row],[T]]</f>
        <v>#DIV/0!</v>
      </c>
    </row>
    <row r="16" spans="1:25" x14ac:dyDescent="0.3">
      <c r="A16">
        <v>5.5599999999999996E-4</v>
      </c>
      <c r="B16">
        <v>-8</v>
      </c>
      <c r="C16">
        <f>Table15[[#This Row],[Colonna1]]+$K$2</f>
        <v>-10</v>
      </c>
      <c r="D16">
        <f>ABS(Table15[[#This Row],[V]])</f>
        <v>10</v>
      </c>
      <c r="E16">
        <f>LOG(Table15[[#This Row],[ABS (V)]])</f>
        <v>1</v>
      </c>
      <c r="P16" t="e">
        <f>2*PI()/Table26[[#This Row],[T]]</f>
        <v>#DIV/0!</v>
      </c>
    </row>
    <row r="17" spans="1:16" x14ac:dyDescent="0.3">
      <c r="A17">
        <v>5.2800000000000004E-4</v>
      </c>
      <c r="B17">
        <v>14</v>
      </c>
      <c r="C17">
        <f>Table15[[#This Row],[Colonna1]]+$K$2</f>
        <v>12</v>
      </c>
      <c r="D17">
        <f>ABS(Table15[[#This Row],[V]])</f>
        <v>12</v>
      </c>
      <c r="E17">
        <f>LOG(Table15[[#This Row],[ABS (V)]])</f>
        <v>1.0791812460476249</v>
      </c>
      <c r="P17" t="e">
        <f>2*PI()/Table26[[#This Row],[T]]</f>
        <v>#DIV/0!</v>
      </c>
    </row>
    <row r="18" spans="1:16" x14ac:dyDescent="0.3">
      <c r="A18">
        <v>5.0600000000000005E-4</v>
      </c>
      <c r="B18">
        <v>-6</v>
      </c>
      <c r="C18">
        <f>Table15[[#This Row],[Colonna1]]+$K$2</f>
        <v>-8</v>
      </c>
      <c r="D18">
        <f>ABS(Table15[[#This Row],[V]])</f>
        <v>8</v>
      </c>
      <c r="E18">
        <f>LOG(Table15[[#This Row],[ABS (V)]])</f>
        <v>0.90308998699194354</v>
      </c>
      <c r="P18" t="e">
        <f>2*PI()/Table26[[#This Row],[T]]</f>
        <v>#DIV/0!</v>
      </c>
    </row>
    <row r="19" spans="1:16" x14ac:dyDescent="0.3">
      <c r="A19">
        <v>4.84E-4</v>
      </c>
      <c r="B19">
        <v>8</v>
      </c>
      <c r="C19">
        <f>Table15[[#This Row],[Colonna1]]+$K$2</f>
        <v>6</v>
      </c>
      <c r="D19">
        <f>ABS(Table15[[#This Row],[V]])</f>
        <v>6</v>
      </c>
      <c r="E19">
        <f>LOG(Table15[[#This Row],[ABS (V)]])</f>
        <v>0.77815125038364363</v>
      </c>
      <c r="P19" t="e">
        <f>2*PI()/Table26[[#This Row],[T]]</f>
        <v>#DIV/0!</v>
      </c>
    </row>
    <row r="20" spans="1:16" x14ac:dyDescent="0.3">
      <c r="A20">
        <v>4.5800000000000002E-4</v>
      </c>
      <c r="B20">
        <v>-6</v>
      </c>
      <c r="C20">
        <f>Table15[[#This Row],[Colonna1]]+$K$2</f>
        <v>-8</v>
      </c>
      <c r="D20">
        <f>ABS(Table15[[#This Row],[V]])</f>
        <v>8</v>
      </c>
      <c r="E20">
        <f>LOG(Table15[[#This Row],[ABS (V)]])</f>
        <v>0.90308998699194354</v>
      </c>
      <c r="P20" t="e">
        <f>2*PI()/Table26[[#This Row],[T]]</f>
        <v>#DIV/0!</v>
      </c>
    </row>
    <row r="21" spans="1:16" x14ac:dyDescent="0.3">
      <c r="A21">
        <v>4.3600000000000003E-4</v>
      </c>
      <c r="B21">
        <v>8</v>
      </c>
      <c r="C21">
        <f>Table15[[#This Row],[Colonna1]]+$K$2</f>
        <v>6</v>
      </c>
      <c r="D21">
        <f>ABS(Table15[[#This Row],[V]])</f>
        <v>6</v>
      </c>
      <c r="E21">
        <f>LOG(Table15[[#This Row],[ABS (V)]])</f>
        <v>0.77815125038364363</v>
      </c>
      <c r="P21" t="e">
        <f>2*PI()/Table26[[#This Row],[T]]</f>
        <v>#DIV/0!</v>
      </c>
    </row>
    <row r="22" spans="1:16" x14ac:dyDescent="0.3">
      <c r="A22">
        <v>4.1199999999999999E-4</v>
      </c>
      <c r="B22">
        <v>-2</v>
      </c>
      <c r="C22">
        <f>Table15[[#This Row],[Colonna1]]+$K$2</f>
        <v>-4</v>
      </c>
      <c r="D22">
        <f>ABS(Table15[[#This Row],[V]])</f>
        <v>4</v>
      </c>
      <c r="E22">
        <f>LOG(Table15[[#This Row],[ABS (V)]])</f>
        <v>0.6020599913279624</v>
      </c>
      <c r="P22" t="e">
        <f>2*PI()/Table26[[#This Row],[T]]</f>
        <v>#DIV/0!</v>
      </c>
    </row>
    <row r="23" spans="1:16" x14ac:dyDescent="0.3">
      <c r="P23" t="e">
        <f>2*PI()/Table26[[#This Row],[T]]</f>
        <v>#DIV/0!</v>
      </c>
    </row>
    <row r="24" spans="1:16" x14ac:dyDescent="0.3">
      <c r="P24" t="e">
        <f>2*PI()/Table26[[#This Row],[T]]</f>
        <v>#DIV/0!</v>
      </c>
    </row>
    <row r="25" spans="1:16" x14ac:dyDescent="0.3">
      <c r="P25" t="e">
        <f>2*PI()/Table26[[#This Row],[T]]</f>
        <v>#DIV/0!</v>
      </c>
    </row>
    <row r="26" spans="1:16" x14ac:dyDescent="0.3">
      <c r="P26" t="e">
        <f>2*PI()/Table26[[#This Row],[T]]</f>
        <v>#DIV/0!</v>
      </c>
    </row>
    <row r="27" spans="1:16" x14ac:dyDescent="0.3">
      <c r="P27" t="e">
        <f>2*PI()/Table26[[#This Row],[T]]</f>
        <v>#DIV/0!</v>
      </c>
    </row>
    <row r="28" spans="1:16" x14ac:dyDescent="0.3">
      <c r="P28" t="e">
        <f>2*PI()/Table26[[#This Row],[T]]</f>
        <v>#DIV/0!</v>
      </c>
    </row>
    <row r="29" spans="1:16" x14ac:dyDescent="0.3">
      <c r="P29" t="e">
        <f>2*PI()/Table26[[#This Row],[T]]</f>
        <v>#DIV/0!</v>
      </c>
    </row>
    <row r="30" spans="1:16" x14ac:dyDescent="0.3">
      <c r="P30" t="e">
        <f>2*PI()/Table26[[#This Row],[T]]</f>
        <v>#DIV/0!</v>
      </c>
    </row>
    <row r="31" spans="1:16" x14ac:dyDescent="0.3">
      <c r="P31" t="e">
        <f>2*PI()/Table26[[#This Row],[T]]</f>
        <v>#DIV/0!</v>
      </c>
    </row>
    <row r="32" spans="1:16" x14ac:dyDescent="0.3">
      <c r="P32" t="e">
        <f>2*PI()/Table26[[#This Row],[T]]</f>
        <v>#DIV/0!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756AB-6DF2-46EE-B570-80EE1CE089FA}">
  <dimension ref="A1:D22"/>
  <sheetViews>
    <sheetView workbookViewId="0">
      <selection activeCell="E19" sqref="E1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4.1199999999999999E-4</v>
      </c>
      <c r="B2">
        <v>-202</v>
      </c>
      <c r="C2">
        <v>202</v>
      </c>
      <c r="D2">
        <v>2.3053513694466239</v>
      </c>
    </row>
    <row r="3" spans="1:4" x14ac:dyDescent="0.3">
      <c r="A3">
        <v>4.3600000000000003E-4</v>
      </c>
      <c r="B3">
        <v>154</v>
      </c>
      <c r="C3">
        <v>154</v>
      </c>
      <c r="D3">
        <v>2.1875207208364631</v>
      </c>
    </row>
    <row r="4" spans="1:4" x14ac:dyDescent="0.3">
      <c r="A4">
        <v>4.5800000000000002E-4</v>
      </c>
      <c r="B4">
        <v>-122</v>
      </c>
      <c r="C4">
        <v>122</v>
      </c>
      <c r="D4">
        <v>2.0863598306747484</v>
      </c>
    </row>
    <row r="5" spans="1:4" x14ac:dyDescent="0.3">
      <c r="A5">
        <v>4.84E-4</v>
      </c>
      <c r="B5">
        <v>106</v>
      </c>
      <c r="C5">
        <v>106</v>
      </c>
      <c r="D5">
        <v>2.0253058652647704</v>
      </c>
    </row>
    <row r="6" spans="1:4" x14ac:dyDescent="0.3">
      <c r="A6">
        <v>5.0600000000000005E-4</v>
      </c>
      <c r="B6">
        <v>-92</v>
      </c>
      <c r="C6">
        <v>92</v>
      </c>
      <c r="D6">
        <v>1.9637878273455553</v>
      </c>
    </row>
    <row r="7" spans="1:4" x14ac:dyDescent="0.3">
      <c r="A7">
        <v>5.2800000000000004E-4</v>
      </c>
      <c r="B7">
        <v>68</v>
      </c>
      <c r="C7">
        <v>68</v>
      </c>
      <c r="D7">
        <v>1.8325089127062364</v>
      </c>
    </row>
    <row r="8" spans="1:4" x14ac:dyDescent="0.3">
      <c r="A8">
        <v>5.5599999999999996E-4</v>
      </c>
      <c r="B8">
        <v>-56</v>
      </c>
      <c r="C8">
        <v>56</v>
      </c>
      <c r="D8">
        <v>1.7481880270062005</v>
      </c>
    </row>
    <row r="9" spans="1:4" x14ac:dyDescent="0.3">
      <c r="A9">
        <v>5.7799999999999995E-4</v>
      </c>
      <c r="B9">
        <v>50</v>
      </c>
      <c r="C9">
        <v>50</v>
      </c>
      <c r="D9">
        <v>1.6989700043360187</v>
      </c>
    </row>
    <row r="10" spans="1:4" x14ac:dyDescent="0.3">
      <c r="A10">
        <v>6.0400000000000004E-4</v>
      </c>
      <c r="B10">
        <v>-40</v>
      </c>
      <c r="C10">
        <v>40</v>
      </c>
      <c r="D10">
        <v>1.6020599913279623</v>
      </c>
    </row>
    <row r="11" spans="1:4" x14ac:dyDescent="0.3">
      <c r="A11">
        <v>6.2600000000000004E-4</v>
      </c>
      <c r="B11">
        <v>28</v>
      </c>
      <c r="C11">
        <v>28</v>
      </c>
      <c r="D11">
        <v>1.4471580313422192</v>
      </c>
    </row>
    <row r="12" spans="1:4" x14ac:dyDescent="0.3">
      <c r="A12">
        <v>6.4800000000000003E-4</v>
      </c>
      <c r="B12">
        <v>-26</v>
      </c>
      <c r="C12">
        <v>26</v>
      </c>
      <c r="D12">
        <v>1.414973347970818</v>
      </c>
    </row>
    <row r="13" spans="1:4" x14ac:dyDescent="0.3">
      <c r="A13">
        <v>6.7199999999999996E-4</v>
      </c>
      <c r="B13">
        <v>24</v>
      </c>
      <c r="C13">
        <v>24</v>
      </c>
      <c r="D13">
        <v>1.3802112417116059</v>
      </c>
    </row>
    <row r="14" spans="1:4" x14ac:dyDescent="0.3">
      <c r="A14">
        <v>6.96E-4</v>
      </c>
      <c r="B14">
        <v>-18</v>
      </c>
      <c r="C14">
        <v>18</v>
      </c>
      <c r="D14">
        <v>1.255272505103306</v>
      </c>
    </row>
    <row r="15" spans="1:4" x14ac:dyDescent="0.3">
      <c r="A15">
        <v>7.1599999999999995E-4</v>
      </c>
      <c r="B15">
        <v>14</v>
      </c>
      <c r="C15">
        <v>14</v>
      </c>
      <c r="D15">
        <v>1.146128035678238</v>
      </c>
    </row>
    <row r="16" spans="1:4" x14ac:dyDescent="0.3">
      <c r="A16">
        <v>7.4200000000000004E-4</v>
      </c>
      <c r="B16">
        <v>-10</v>
      </c>
      <c r="C16">
        <v>10</v>
      </c>
      <c r="D16">
        <v>1</v>
      </c>
    </row>
    <row r="17" spans="1:4" x14ac:dyDescent="0.3">
      <c r="A17">
        <v>7.6599999999999997E-4</v>
      </c>
      <c r="B17">
        <v>12</v>
      </c>
      <c r="C17">
        <v>12</v>
      </c>
      <c r="D17">
        <v>1.0791812460476249</v>
      </c>
    </row>
    <row r="18" spans="1:4" x14ac:dyDescent="0.3">
      <c r="A18">
        <v>7.8799999999999996E-4</v>
      </c>
      <c r="B18">
        <v>-8</v>
      </c>
      <c r="C18">
        <v>8</v>
      </c>
      <c r="D18">
        <v>0.90308998699194354</v>
      </c>
    </row>
    <row r="19" spans="1:4" x14ac:dyDescent="0.3">
      <c r="A19">
        <v>8.12E-4</v>
      </c>
      <c r="B19">
        <v>6</v>
      </c>
      <c r="C19">
        <v>6</v>
      </c>
      <c r="D19">
        <v>0.77815125038364363</v>
      </c>
    </row>
    <row r="20" spans="1:4" x14ac:dyDescent="0.3">
      <c r="A20">
        <v>8.34E-4</v>
      </c>
      <c r="B20">
        <v>-8</v>
      </c>
      <c r="C20">
        <v>8</v>
      </c>
      <c r="D20">
        <v>0.90308998699194354</v>
      </c>
    </row>
    <row r="21" spans="1:4" x14ac:dyDescent="0.3">
      <c r="A21">
        <v>8.5800000000000004E-4</v>
      </c>
      <c r="B21">
        <v>6</v>
      </c>
      <c r="C21">
        <v>6</v>
      </c>
      <c r="D21">
        <v>0.77815125038364363</v>
      </c>
    </row>
    <row r="22" spans="1:4" x14ac:dyDescent="0.3">
      <c r="A22">
        <v>8.8199999999999997E-4</v>
      </c>
      <c r="B22">
        <v>-4</v>
      </c>
      <c r="C22">
        <v>4</v>
      </c>
      <c r="D22">
        <v>0.6020599913279624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1FE4C-3AEF-4149-AA8B-04A42B5DF931}">
  <dimension ref="A1:J43"/>
  <sheetViews>
    <sheetView tabSelected="1" zoomScale="86" workbookViewId="0">
      <selection activeCell="G20" sqref="G20"/>
    </sheetView>
  </sheetViews>
  <sheetFormatPr defaultRowHeight="14.4" x14ac:dyDescent="0.3"/>
  <cols>
    <col min="1" max="4" width="10.33203125" customWidth="1"/>
    <col min="6" max="6" width="12.109375" customWidth="1"/>
  </cols>
  <sheetData>
    <row r="1" spans="1:10" x14ac:dyDescent="0.3">
      <c r="A1" t="s">
        <v>1</v>
      </c>
      <c r="B1" t="s">
        <v>0</v>
      </c>
      <c r="C1" s="2" t="s">
        <v>4</v>
      </c>
      <c r="D1" s="2" t="s">
        <v>17</v>
      </c>
      <c r="E1" t="s">
        <v>15</v>
      </c>
      <c r="F1" t="s">
        <v>23</v>
      </c>
      <c r="G1" t="s">
        <v>24</v>
      </c>
      <c r="I1" s="1" t="s">
        <v>9</v>
      </c>
    </row>
    <row r="2" spans="1:10" x14ac:dyDescent="0.3">
      <c r="A2">
        <v>172</v>
      </c>
      <c r="B2">
        <v>2.9999999999999997E-4</v>
      </c>
      <c r="C2">
        <f>2*PI()/Table3[[#This Row],[T]]</f>
        <v>20943.951023931957</v>
      </c>
      <c r="D2">
        <v>0</v>
      </c>
      <c r="E2">
        <f>Table3[[#This Row],[Diff. Fase (microsecondi)]]*10^-6</f>
        <v>0</v>
      </c>
      <c r="F2" s="7">
        <f>Table3[[#This Row],[Colonna1]]-Table3[[#This Row],[T]]</f>
        <v>-2.9999999999999997E-4</v>
      </c>
      <c r="G2" s="7">
        <f>Table3[[#This Row],[Colonna2]]*10^6</f>
        <v>-300</v>
      </c>
      <c r="I2" s="1">
        <f>I5/SQRT(2)</f>
        <v>545.88643507601466</v>
      </c>
    </row>
    <row r="3" spans="1:10" x14ac:dyDescent="0.3">
      <c r="A3">
        <v>208</v>
      </c>
      <c r="B3">
        <v>2.1000000000000001E-4</v>
      </c>
      <c r="C3">
        <f>2*PI()/Table3[[#This Row],[T]]</f>
        <v>29919.930034188506</v>
      </c>
      <c r="D3">
        <v>2</v>
      </c>
      <c r="E3">
        <f>Table3[[#This Row],[Diff. Fase (microsecondi)]]*10^-6</f>
        <v>1.9999999999999999E-6</v>
      </c>
      <c r="F3" s="7">
        <f>Table3[[#This Row],[Colonna1]]-Table3[[#This Row],[T]]</f>
        <v>-2.0800000000000001E-4</v>
      </c>
      <c r="G3" s="7">
        <f>Table3[[#This Row],[Colonna2]]*10^6</f>
        <v>-208.00000000000003</v>
      </c>
    </row>
    <row r="4" spans="1:10" x14ac:dyDescent="0.3">
      <c r="A4">
        <v>232</v>
      </c>
      <c r="B4">
        <v>1.8000000000000001E-4</v>
      </c>
      <c r="C4">
        <f>2*PI()/Table3[[#This Row],[T]]</f>
        <v>34906.585039886588</v>
      </c>
      <c r="D4">
        <v>5</v>
      </c>
      <c r="E4">
        <f>Table3[[#This Row],[Diff. Fase (microsecondi)]]*10^-6</f>
        <v>4.9999999999999996E-6</v>
      </c>
      <c r="F4" s="7">
        <f>Table3[[#This Row],[Colonna1]]-Table3[[#This Row],[T]]</f>
        <v>-1.7500000000000003E-4</v>
      </c>
      <c r="G4" s="7">
        <f>Table3[[#This Row],[Colonna2]]*10^6</f>
        <v>-175.00000000000003</v>
      </c>
      <c r="I4" s="1" t="s">
        <v>10</v>
      </c>
      <c r="J4" s="1" t="s">
        <v>11</v>
      </c>
    </row>
    <row r="5" spans="1:10" x14ac:dyDescent="0.3">
      <c r="A5">
        <v>296</v>
      </c>
      <c r="B5">
        <v>1.5300000000000001E-4</v>
      </c>
      <c r="C5">
        <f>2*PI()/Table3[[#This Row],[T]]</f>
        <v>41066.570635160693</v>
      </c>
      <c r="D5">
        <v>5.5</v>
      </c>
      <c r="E5">
        <f>Table3[[#This Row],[Diff. Fase (microsecondi)]]*10^-6</f>
        <v>5.4999999999999999E-6</v>
      </c>
      <c r="F5" s="7">
        <f>Table3[[#This Row],[Colonna1]]-Table3[[#This Row],[T]]</f>
        <v>-1.4750000000000001E-4</v>
      </c>
      <c r="G5" s="7">
        <f>Table3[[#This Row],[Colonna2]]*10^6</f>
        <v>-147.5</v>
      </c>
      <c r="I5" s="1">
        <f>MAX(A:A)</f>
        <v>772</v>
      </c>
      <c r="J5" s="1">
        <f>INDEX(A:A, MATCH(MAX(C:C), C:C, 0))</f>
        <v>88</v>
      </c>
    </row>
    <row r="6" spans="1:10" x14ac:dyDescent="0.3">
      <c r="A6">
        <v>360</v>
      </c>
      <c r="B6">
        <v>1.3999999999999999E-4</v>
      </c>
      <c r="C6">
        <f>2*PI()/Table3[[#This Row],[T]]</f>
        <v>44879.895051282765</v>
      </c>
      <c r="D6">
        <v>7</v>
      </c>
      <c r="E6">
        <f>Table3[[#This Row],[Diff. Fase (microsecondi)]]*10^-6</f>
        <v>6.9999999999999999E-6</v>
      </c>
      <c r="F6" s="7">
        <f>Table3[[#This Row],[Colonna1]]-Table3[[#This Row],[T]]</f>
        <v>-1.3299999999999998E-4</v>
      </c>
      <c r="G6" s="7">
        <f>Table3[[#This Row],[Colonna2]]*10^6</f>
        <v>-132.99999999999997</v>
      </c>
    </row>
    <row r="7" spans="1:10" x14ac:dyDescent="0.3">
      <c r="A7">
        <v>532</v>
      </c>
      <c r="B7">
        <v>1.2999999999999999E-4</v>
      </c>
      <c r="C7">
        <f>2*PI()/Table3[[#This Row],[T]]</f>
        <v>48332.194670612203</v>
      </c>
      <c r="D7">
        <v>11</v>
      </c>
      <c r="E7">
        <f>Table3[[#This Row],[Diff. Fase (microsecondi)]]*10^-6</f>
        <v>1.1E-5</v>
      </c>
      <c r="F7" s="7">
        <f>Table3[[#This Row],[Colonna1]]-Table3[[#This Row],[T]]</f>
        <v>-1.1899999999999999E-4</v>
      </c>
      <c r="G7" s="7">
        <f>Table3[[#This Row],[Colonna2]]*10^6</f>
        <v>-118.99999999999999</v>
      </c>
    </row>
    <row r="8" spans="1:10" x14ac:dyDescent="0.3">
      <c r="A8">
        <v>492</v>
      </c>
      <c r="B8">
        <v>1.2999999999999999E-4</v>
      </c>
      <c r="C8">
        <f>2*PI()/Table3[[#This Row],[T]]</f>
        <v>48332.194670612203</v>
      </c>
      <c r="D8">
        <v>10</v>
      </c>
      <c r="E8">
        <f>Table3[[#This Row],[Diff. Fase (microsecondi)]]*10^-6</f>
        <v>9.9999999999999991E-6</v>
      </c>
      <c r="F8" s="7">
        <f>Table3[[#This Row],[Colonna1]]-Table3[[#This Row],[T]]</f>
        <v>-1.1999999999999999E-4</v>
      </c>
      <c r="G8" s="7">
        <f>Table3[[#This Row],[Colonna2]]*10^6</f>
        <v>-119.99999999999999</v>
      </c>
    </row>
    <row r="9" spans="1:10" x14ac:dyDescent="0.3">
      <c r="A9">
        <v>536</v>
      </c>
      <c r="B9">
        <v>1.2799999999999999E-4</v>
      </c>
      <c r="C9">
        <f>2*PI()/Table3[[#This Row],[T]]</f>
        <v>49087.385212340523</v>
      </c>
      <c r="D9">
        <v>12</v>
      </c>
      <c r="E9">
        <f>Table3[[#This Row],[Diff. Fase (microsecondi)]]*10^-6</f>
        <v>1.2E-5</v>
      </c>
      <c r="F9" s="7">
        <f>Table3[[#This Row],[Colonna1]]-Table3[[#This Row],[T]]</f>
        <v>-1.16E-4</v>
      </c>
      <c r="G9" s="7">
        <f>Table3[[#This Row],[Colonna2]]*10^6</f>
        <v>-116</v>
      </c>
    </row>
    <row r="10" spans="1:10" x14ac:dyDescent="0.3">
      <c r="A10">
        <v>572</v>
      </c>
      <c r="B10">
        <v>1.26E-4</v>
      </c>
      <c r="C10">
        <f>2*PI()/Table3[[#This Row],[T]]</f>
        <v>49866.550056980843</v>
      </c>
      <c r="D10">
        <v>13</v>
      </c>
      <c r="E10">
        <f>Table3[[#This Row],[Diff. Fase (microsecondi)]]*10^-6</f>
        <v>1.2999999999999999E-5</v>
      </c>
      <c r="F10" s="7">
        <f>Table3[[#This Row],[Colonna1]]-Table3[[#This Row],[T]]</f>
        <v>-1.13E-4</v>
      </c>
      <c r="G10" s="7">
        <f>Table3[[#This Row],[Colonna2]]*10^6</f>
        <v>-113</v>
      </c>
    </row>
    <row r="11" spans="1:10" x14ac:dyDescent="0.3">
      <c r="A11">
        <v>548</v>
      </c>
      <c r="B11">
        <v>1.26E-4</v>
      </c>
      <c r="C11">
        <f>2*PI()/Table3[[#This Row],[T]]</f>
        <v>49866.550056980843</v>
      </c>
      <c r="D11">
        <v>11</v>
      </c>
      <c r="E11">
        <f>Table3[[#This Row],[Diff. Fase (microsecondi)]]*10^-6</f>
        <v>1.1E-5</v>
      </c>
      <c r="F11" s="7">
        <f>Table3[[#This Row],[Colonna1]]-Table3[[#This Row],[T]]</f>
        <v>-1.15E-4</v>
      </c>
      <c r="G11" s="7">
        <f>Table3[[#This Row],[Colonna2]]*10^6</f>
        <v>-115</v>
      </c>
    </row>
    <row r="12" spans="1:10" x14ac:dyDescent="0.3">
      <c r="A12">
        <v>624</v>
      </c>
      <c r="B12">
        <v>1.22E-4</v>
      </c>
      <c r="C12">
        <f>2*PI()/Table3[[#This Row],[T]]</f>
        <v>51501.518911308085</v>
      </c>
      <c r="D12">
        <v>15</v>
      </c>
      <c r="E12">
        <f>Table3[[#This Row],[Diff. Fase (microsecondi)]]*10^-6</f>
        <v>1.4999999999999999E-5</v>
      </c>
      <c r="F12" s="7">
        <f>Table3[[#This Row],[Colonna1]]-Table3[[#This Row],[T]]</f>
        <v>-1.07E-4</v>
      </c>
      <c r="G12" s="7">
        <f>Table3[[#This Row],[Colonna2]]*10^6</f>
        <v>-107</v>
      </c>
    </row>
    <row r="13" spans="1:10" x14ac:dyDescent="0.3">
      <c r="A13">
        <v>608</v>
      </c>
      <c r="B13">
        <v>1.22E-4</v>
      </c>
      <c r="C13">
        <f>2*PI()/Table3[[#This Row],[T]]</f>
        <v>51501.518911308085</v>
      </c>
      <c r="D13">
        <v>14</v>
      </c>
      <c r="E13">
        <f>Table3[[#This Row],[Diff. Fase (microsecondi)]]*10^-6</f>
        <v>1.4E-5</v>
      </c>
      <c r="F13" s="7">
        <f>Table3[[#This Row],[Colonna1]]-Table3[[#This Row],[T]]</f>
        <v>-1.08E-4</v>
      </c>
      <c r="G13" s="7">
        <f>Table3[[#This Row],[Colonna2]]*10^6</f>
        <v>-108</v>
      </c>
    </row>
    <row r="14" spans="1:10" x14ac:dyDescent="0.3">
      <c r="A14">
        <v>696</v>
      </c>
      <c r="B14">
        <v>1.18E-4</v>
      </c>
      <c r="C14">
        <f>2*PI()/Table3[[#This Row],[T]]</f>
        <v>53247.333111691412</v>
      </c>
      <c r="D14">
        <v>18</v>
      </c>
      <c r="E14">
        <f>Table3[[#This Row],[Diff. Fase (microsecondi)]]*10^-6</f>
        <v>1.8E-5</v>
      </c>
      <c r="F14" s="7">
        <f>Table3[[#This Row],[Colonna1]]-Table3[[#This Row],[T]]</f>
        <v>-9.9999999999999991E-5</v>
      </c>
      <c r="G14" s="7">
        <f>Table3[[#This Row],[Colonna2]]*10^6</f>
        <v>-99.999999999999986</v>
      </c>
    </row>
    <row r="15" spans="1:10" x14ac:dyDescent="0.3">
      <c r="A15">
        <v>716</v>
      </c>
      <c r="B15">
        <v>1.16E-4</v>
      </c>
      <c r="C15">
        <f>2*PI()/Table3[[#This Row],[T]]</f>
        <v>54165.390579134364</v>
      </c>
      <c r="D15">
        <v>19</v>
      </c>
      <c r="E15">
        <f>Table3[[#This Row],[Diff. Fase (microsecondi)]]*10^-6</f>
        <v>1.8999999999999998E-5</v>
      </c>
      <c r="F15" s="7">
        <f>Table3[[#This Row],[Colonna1]]-Table3[[#This Row],[T]]</f>
        <v>-9.7E-5</v>
      </c>
      <c r="G15" s="7">
        <f>Table3[[#This Row],[Colonna2]]*10^6</f>
        <v>-97</v>
      </c>
    </row>
    <row r="16" spans="1:10" x14ac:dyDescent="0.3">
      <c r="A16">
        <v>756</v>
      </c>
      <c r="B16">
        <v>1.1400000000000001E-4</v>
      </c>
      <c r="C16">
        <f>2*PI()/Table3[[#This Row],[T]]</f>
        <v>55115.66058929461</v>
      </c>
      <c r="D16">
        <v>25</v>
      </c>
      <c r="E16">
        <f>Table3[[#This Row],[Diff. Fase (microsecondi)]]*10^-6</f>
        <v>2.4999999999999998E-5</v>
      </c>
      <c r="F16" s="7">
        <f>Table3[[#This Row],[Colonna1]]-Table3[[#This Row],[T]]</f>
        <v>-8.9000000000000008E-5</v>
      </c>
      <c r="G16" s="7">
        <f>Table3[[#This Row],[Colonna2]]*10^6</f>
        <v>-89.000000000000014</v>
      </c>
    </row>
    <row r="17" spans="1:7" x14ac:dyDescent="0.3">
      <c r="A17">
        <v>772</v>
      </c>
      <c r="B17">
        <f>2*0.0000565</f>
        <v>1.13E-4</v>
      </c>
      <c r="C17">
        <f>2*PI()/Table3[[#This Row],[T]]</f>
        <v>55603.409798049441</v>
      </c>
      <c r="D17">
        <v>27</v>
      </c>
      <c r="E17">
        <f>Table3[[#This Row],[Diff. Fase (microsecondi)]]*10^-6</f>
        <v>2.6999999999999999E-5</v>
      </c>
      <c r="F17" s="7">
        <f>Table3[[#This Row],[Colonna1]]-Table3[[#This Row],[T]]</f>
        <v>-8.6000000000000003E-5</v>
      </c>
      <c r="G17" s="7">
        <f>Table3[[#This Row],[Colonna2]]*10^6</f>
        <v>-86</v>
      </c>
    </row>
    <row r="18" spans="1:7" x14ac:dyDescent="0.3">
      <c r="A18">
        <v>752</v>
      </c>
      <c r="B18">
        <f>2*0.000055</f>
        <v>1.1E-4</v>
      </c>
      <c r="C18">
        <f>2*PI()/Table3[[#This Row],[T]]</f>
        <v>57119.866428905327</v>
      </c>
      <c r="D18">
        <v>30</v>
      </c>
      <c r="E18">
        <f>Table3[[#This Row],[Diff. Fase (microsecondi)]]*10^-6</f>
        <v>2.9999999999999997E-5</v>
      </c>
      <c r="F18" s="7">
        <f>Table3[[#This Row],[Colonna1]]-Table3[[#This Row],[T]]</f>
        <v>-8.0000000000000007E-5</v>
      </c>
      <c r="G18" s="7">
        <f>Table3[[#This Row],[Colonna2]]*10^6</f>
        <v>-80</v>
      </c>
    </row>
    <row r="19" spans="1:7" x14ac:dyDescent="0.3">
      <c r="A19">
        <v>680</v>
      </c>
      <c r="B19">
        <f>2*0.000053</f>
        <v>1.06E-4</v>
      </c>
      <c r="C19">
        <f>2*PI()/Table3[[#This Row],[T]]</f>
        <v>59275.333086599872</v>
      </c>
      <c r="D19">
        <v>19.5</v>
      </c>
      <c r="E19">
        <f>Table3[[#This Row],[Diff. Fase (microsecondi)]]*10^-6</f>
        <v>1.95E-5</v>
      </c>
      <c r="F19" s="7">
        <f>Table3[[#This Row],[Colonna1]]-Table3[[#This Row],[T]]</f>
        <v>-8.6500000000000002E-5</v>
      </c>
      <c r="G19" s="7">
        <f>Table3[[#This Row],[Colonna2]]*10^6</f>
        <v>-86.5</v>
      </c>
    </row>
    <row r="20" spans="1:7" x14ac:dyDescent="0.3">
      <c r="A20">
        <v>612</v>
      </c>
      <c r="B20">
        <f>2*0.000053</f>
        <v>1.06E-4</v>
      </c>
      <c r="C20">
        <f>2*PI()/Table3[[#This Row],[T]]</f>
        <v>59275.333086599872</v>
      </c>
      <c r="D20">
        <v>17</v>
      </c>
      <c r="E20">
        <f>Table3[[#This Row],[Diff. Fase (microsecondi)]]*10^-6</f>
        <v>1.7E-5</v>
      </c>
      <c r="F20" s="7">
        <f>Table3[[#This Row],[Colonna1]]-Table3[[#This Row],[T]]</f>
        <v>-8.8999999999999995E-5</v>
      </c>
      <c r="G20" s="7">
        <f>Table3[[#This Row],[Colonna2]]*10^6</f>
        <v>-89</v>
      </c>
    </row>
    <row r="21" spans="1:7" x14ac:dyDescent="0.3">
      <c r="A21">
        <v>564</v>
      </c>
      <c r="B21">
        <v>1.02E-4</v>
      </c>
      <c r="C21">
        <f>2*PI()/Table3[[#This Row],[T]]</f>
        <v>61599.85595274104</v>
      </c>
      <c r="D21">
        <v>15</v>
      </c>
      <c r="E21">
        <f>Table3[[#This Row],[Diff. Fase (microsecondi)]]*10^-6</f>
        <v>1.4999999999999999E-5</v>
      </c>
      <c r="F21" s="7">
        <f>Table3[[#This Row],[Colonna1]]-Table3[[#This Row],[T]]</f>
        <v>-8.7000000000000001E-5</v>
      </c>
      <c r="G21" s="7">
        <f>Table3[[#This Row],[Colonna2]]*10^6</f>
        <v>-87</v>
      </c>
    </row>
    <row r="22" spans="1:7" x14ac:dyDescent="0.3">
      <c r="A22">
        <v>544</v>
      </c>
      <c r="B22">
        <v>1.02E-4</v>
      </c>
      <c r="C22">
        <f>2*PI()/Table3[[#This Row],[T]]</f>
        <v>61599.85595274104</v>
      </c>
      <c r="D22">
        <v>14</v>
      </c>
      <c r="E22">
        <f>Table3[[#This Row],[Diff. Fase (microsecondi)]]*10^-6</f>
        <v>1.4E-5</v>
      </c>
      <c r="F22" s="7">
        <f>Table3[[#This Row],[Colonna1]]-Table3[[#This Row],[T]]</f>
        <v>-8.7999999999999998E-5</v>
      </c>
      <c r="G22" s="7">
        <f>Table3[[#This Row],[Colonna2]]*10^6</f>
        <v>-88</v>
      </c>
    </row>
    <row r="23" spans="1:7" x14ac:dyDescent="0.3">
      <c r="A23">
        <v>516</v>
      </c>
      <c r="B23">
        <f>0.0000505*2</f>
        <v>1.01E-4</v>
      </c>
      <c r="C23">
        <f>2*PI()/Table3[[#This Row],[T]]</f>
        <v>62209.755516629564</v>
      </c>
      <c r="D23">
        <v>13</v>
      </c>
      <c r="E23">
        <f>Table3[[#This Row],[Diff. Fase (microsecondi)]]*10^-6</f>
        <v>1.2999999999999999E-5</v>
      </c>
      <c r="F23" s="7">
        <f>Table3[[#This Row],[Colonna1]]-Table3[[#This Row],[T]]</f>
        <v>-8.7999999999999998E-5</v>
      </c>
      <c r="G23" s="7">
        <f>Table3[[#This Row],[Colonna2]]*10^6</f>
        <v>-88</v>
      </c>
    </row>
    <row r="24" spans="1:7" x14ac:dyDescent="0.3">
      <c r="A24">
        <v>524</v>
      </c>
      <c r="B24">
        <v>1.01E-4</v>
      </c>
      <c r="C24">
        <f>2*PI()/Table3[[#This Row],[T]]</f>
        <v>62209.755516629564</v>
      </c>
      <c r="D24">
        <v>13.5</v>
      </c>
      <c r="E24">
        <f>Table3[[#This Row],[Diff. Fase (microsecondi)]]*10^-6</f>
        <v>1.3499999999999999E-5</v>
      </c>
      <c r="F24" s="7">
        <f>Table3[[#This Row],[Colonna1]]-Table3[[#This Row],[T]]</f>
        <v>-8.7499999999999999E-5</v>
      </c>
      <c r="G24" s="7">
        <f>Table3[[#This Row],[Colonna2]]*10^6</f>
        <v>-87.5</v>
      </c>
    </row>
    <row r="25" spans="1:7" x14ac:dyDescent="0.3">
      <c r="A25">
        <v>488</v>
      </c>
      <c r="B25">
        <v>1E-4</v>
      </c>
      <c r="C25">
        <f>2*PI()/Table3[[#This Row],[T]]</f>
        <v>62831.853071795857</v>
      </c>
      <c r="D25">
        <v>10.5</v>
      </c>
      <c r="E25">
        <f>Table3[[#This Row],[Diff. Fase (microsecondi)]]*10^-6</f>
        <v>1.0499999999999999E-5</v>
      </c>
      <c r="F25" s="7">
        <f>Table3[[#This Row],[Colonna1]]-Table3[[#This Row],[T]]</f>
        <v>-8.9500000000000007E-5</v>
      </c>
      <c r="G25" s="7">
        <f>Table3[[#This Row],[Colonna2]]*10^6</f>
        <v>-89.5</v>
      </c>
    </row>
    <row r="26" spans="1:7" x14ac:dyDescent="0.3">
      <c r="A26">
        <v>436</v>
      </c>
      <c r="B26">
        <f>0.000098</f>
        <v>9.7999999999999997E-5</v>
      </c>
      <c r="C26">
        <f>2*PI()/Table3[[#This Row],[T]]</f>
        <v>64114.135787546802</v>
      </c>
      <c r="D26">
        <v>11</v>
      </c>
      <c r="E26">
        <f>Table3[[#This Row],[Diff. Fase (microsecondi)]]*10^-6</f>
        <v>1.1E-5</v>
      </c>
      <c r="F26" s="7">
        <f>Table3[[#This Row],[Colonna1]]-Table3[[#This Row],[T]]</f>
        <v>-8.7000000000000001E-5</v>
      </c>
      <c r="G26" s="7">
        <f>Table3[[#This Row],[Colonna2]]*10^6</f>
        <v>-87</v>
      </c>
    </row>
    <row r="27" spans="1:7" x14ac:dyDescent="0.3">
      <c r="A27">
        <v>372</v>
      </c>
      <c r="B27">
        <v>9.3999999999999994E-5</v>
      </c>
      <c r="C27">
        <f>2*PI()/Table3[[#This Row],[T]]</f>
        <v>66842.396884889225</v>
      </c>
      <c r="D27">
        <v>9</v>
      </c>
      <c r="E27">
        <f>Table3[[#This Row],[Diff. Fase (microsecondi)]]*10^-6</f>
        <v>9.0000000000000002E-6</v>
      </c>
      <c r="F27" s="7">
        <f>Table3[[#This Row],[Colonna1]]-Table3[[#This Row],[T]]</f>
        <v>-8.4999999999999993E-5</v>
      </c>
      <c r="G27" s="7">
        <f>Table3[[#This Row],[Colonna2]]*10^6</f>
        <v>-84.999999999999986</v>
      </c>
    </row>
    <row r="28" spans="1:7" x14ac:dyDescent="0.3">
      <c r="A28">
        <v>288</v>
      </c>
      <c r="B28">
        <v>9.2E-5</v>
      </c>
      <c r="C28">
        <f>2*PI()/Table3[[#This Row],[T]]</f>
        <v>68295.492469343328</v>
      </c>
      <c r="D28">
        <v>6</v>
      </c>
      <c r="E28">
        <f>Table3[[#This Row],[Diff. Fase (microsecondi)]]*10^-6</f>
        <v>6.0000000000000002E-6</v>
      </c>
      <c r="F28" s="7">
        <f>Table3[[#This Row],[Colonna1]]-Table3[[#This Row],[T]]</f>
        <v>-8.6000000000000003E-5</v>
      </c>
      <c r="G28" s="7">
        <f>Table3[[#This Row],[Colonna2]]*10^6</f>
        <v>-86</v>
      </c>
    </row>
    <row r="29" spans="1:7" x14ac:dyDescent="0.3">
      <c r="A29">
        <v>232</v>
      </c>
      <c r="B29">
        <v>8.6000000000000003E-5</v>
      </c>
      <c r="C29">
        <f>2*PI()/Table3[[#This Row],[T]]</f>
        <v>73060.294269530074</v>
      </c>
      <c r="D29">
        <v>5.5</v>
      </c>
      <c r="E29">
        <f>Table3[[#This Row],[Diff. Fase (microsecondi)]]*10^-6</f>
        <v>5.4999999999999999E-6</v>
      </c>
      <c r="F29" s="7">
        <f>Table3[[#This Row],[Colonna1]]-Table3[[#This Row],[T]]</f>
        <v>-8.0500000000000005E-5</v>
      </c>
      <c r="G29" s="7">
        <f>Table3[[#This Row],[Colonna2]]*10^6</f>
        <v>-80.5</v>
      </c>
    </row>
    <row r="30" spans="1:7" x14ac:dyDescent="0.3">
      <c r="A30">
        <v>148</v>
      </c>
      <c r="B30">
        <v>7.7999999999999999E-5</v>
      </c>
      <c r="C30">
        <f>2*PI()/Table3[[#This Row],[T]]</f>
        <v>80553.657784353665</v>
      </c>
      <c r="D30">
        <v>3.5</v>
      </c>
      <c r="E30">
        <f>Table3[[#This Row],[Diff. Fase (microsecondi)]]*10^-6</f>
        <v>3.4999999999999999E-6</v>
      </c>
      <c r="F30" s="7">
        <f>Table3[[#This Row],[Colonna1]]-Table3[[#This Row],[T]]</f>
        <v>-7.4499999999999995E-5</v>
      </c>
      <c r="G30" s="7">
        <f>Table3[[#This Row],[Colonna2]]*10^6</f>
        <v>-74.5</v>
      </c>
    </row>
    <row r="31" spans="1:7" x14ac:dyDescent="0.3">
      <c r="A31">
        <v>88</v>
      </c>
      <c r="B31">
        <v>6.4399999999999993E-5</v>
      </c>
      <c r="C31">
        <f>2*PI()/Table3[[#This Row],[T]]</f>
        <v>97564.989241919058</v>
      </c>
      <c r="D31">
        <v>0.4</v>
      </c>
      <c r="E31">
        <f>Table3[[#This Row],[Diff. Fase (microsecondi)]]*10^-6</f>
        <v>3.9999999999999998E-7</v>
      </c>
      <c r="F31" s="7">
        <f>Table3[[#This Row],[Colonna1]]-Table3[[#This Row],[T]]</f>
        <v>-6.3999999999999997E-5</v>
      </c>
      <c r="G31" s="7">
        <f>Table3[[#This Row],[Colonna2]]*10^6</f>
        <v>-64</v>
      </c>
    </row>
    <row r="32" spans="1:7" x14ac:dyDescent="0.3">
      <c r="E32">
        <f>Table3[[#This Row],[Diff. Fase (microsecondi)]]*10^-6</f>
        <v>0</v>
      </c>
      <c r="F32" s="7">
        <f>Table3[[#This Row],[Colonna1]]-Table3[[#This Row],[T]]</f>
        <v>0</v>
      </c>
      <c r="G32" s="7">
        <f>Table3[[#This Row],[Colonna2]]*10^6</f>
        <v>0</v>
      </c>
    </row>
    <row r="33" spans="5:7" x14ac:dyDescent="0.3">
      <c r="E33">
        <f>Table3[[#This Row],[Diff. Fase (microsecondi)]]*10^-6</f>
        <v>0</v>
      </c>
      <c r="F33" s="7">
        <f>Table3[[#This Row],[Colonna1]]-Table3[[#This Row],[T]]</f>
        <v>0</v>
      </c>
      <c r="G33" s="7">
        <f>Table3[[#This Row],[Colonna2]]*10^6</f>
        <v>0</v>
      </c>
    </row>
    <row r="34" spans="5:7" x14ac:dyDescent="0.3">
      <c r="E34">
        <f>Table3[[#This Row],[Diff. Fase (microsecondi)]]*10^-6</f>
        <v>0</v>
      </c>
      <c r="F34" s="7">
        <f>Table3[[#This Row],[Colonna1]]-Table3[[#This Row],[T]]</f>
        <v>0</v>
      </c>
      <c r="G34" s="7">
        <f>Table3[[#This Row],[Colonna2]]*10^6</f>
        <v>0</v>
      </c>
    </row>
    <row r="35" spans="5:7" x14ac:dyDescent="0.3">
      <c r="E35">
        <f>Table3[[#This Row],[Diff. Fase (microsecondi)]]*10^-6</f>
        <v>0</v>
      </c>
      <c r="F35" s="7">
        <f>Table3[[#This Row],[Colonna1]]-Table3[[#This Row],[T]]</f>
        <v>0</v>
      </c>
      <c r="G35" s="7">
        <f>Table3[[#This Row],[Colonna2]]*10^6</f>
        <v>0</v>
      </c>
    </row>
    <row r="36" spans="5:7" x14ac:dyDescent="0.3">
      <c r="E36">
        <f>Table3[[#This Row],[Diff. Fase (microsecondi)]]*10^-6</f>
        <v>0</v>
      </c>
      <c r="F36" s="7">
        <f>Table3[[#This Row],[Colonna1]]-Table3[[#This Row],[T]]</f>
        <v>0</v>
      </c>
      <c r="G36" s="7">
        <f>Table3[[#This Row],[Colonna2]]*10^6</f>
        <v>0</v>
      </c>
    </row>
    <row r="37" spans="5:7" x14ac:dyDescent="0.3">
      <c r="E37">
        <f>Table3[[#This Row],[Diff. Fase (microsecondi)]]*10^-6</f>
        <v>0</v>
      </c>
      <c r="F37" s="7">
        <f>Table3[[#This Row],[Colonna1]]-Table3[[#This Row],[T]]</f>
        <v>0</v>
      </c>
      <c r="G37" s="7">
        <f>Table3[[#This Row],[Colonna2]]*10^6</f>
        <v>0</v>
      </c>
    </row>
    <row r="38" spans="5:7" x14ac:dyDescent="0.3">
      <c r="E38">
        <f>Table3[[#This Row],[Diff. Fase (microsecondi)]]*10^-6</f>
        <v>0</v>
      </c>
      <c r="F38" s="7">
        <f>Table3[[#This Row],[Colonna1]]-Table3[[#This Row],[T]]</f>
        <v>0</v>
      </c>
      <c r="G38" s="7">
        <f>Table3[[#This Row],[Colonna2]]*10^6</f>
        <v>0</v>
      </c>
    </row>
    <row r="39" spans="5:7" x14ac:dyDescent="0.3">
      <c r="E39">
        <f>Table3[[#This Row],[Diff. Fase (microsecondi)]]*10^-6</f>
        <v>0</v>
      </c>
      <c r="F39" s="7">
        <f>Table3[[#This Row],[Colonna1]]-Table3[[#This Row],[T]]</f>
        <v>0</v>
      </c>
      <c r="G39" s="7">
        <f>Table3[[#This Row],[Colonna2]]*10^6</f>
        <v>0</v>
      </c>
    </row>
    <row r="40" spans="5:7" x14ac:dyDescent="0.3">
      <c r="E40">
        <f>Table3[[#This Row],[Diff. Fase (microsecondi)]]*10^-6</f>
        <v>0</v>
      </c>
      <c r="F40" s="7">
        <f>Table3[[#This Row],[Colonna1]]-Table3[[#This Row],[T]]</f>
        <v>0</v>
      </c>
      <c r="G40" s="7">
        <f>Table3[[#This Row],[Colonna2]]*10^6</f>
        <v>0</v>
      </c>
    </row>
    <row r="41" spans="5:7" x14ac:dyDescent="0.3">
      <c r="E41">
        <f>Table3[[#This Row],[Diff. Fase (microsecondi)]]*10^-6</f>
        <v>0</v>
      </c>
      <c r="F41" s="7">
        <f>Table3[[#This Row],[Colonna1]]-Table3[[#This Row],[T]]</f>
        <v>0</v>
      </c>
      <c r="G41" s="7">
        <f>Table3[[#This Row],[Colonna2]]*10^6</f>
        <v>0</v>
      </c>
    </row>
    <row r="42" spans="5:7" x14ac:dyDescent="0.3">
      <c r="E42">
        <f>Table3[[#This Row],[Diff. Fase (microsecondi)]]*10^-6</f>
        <v>0</v>
      </c>
      <c r="F42" s="7">
        <f>Table3[[#This Row],[Colonna1]]-Table3[[#This Row],[T]]</f>
        <v>0</v>
      </c>
      <c r="G42" s="7">
        <f>Table3[[#This Row],[Colonna2]]*10^6</f>
        <v>0</v>
      </c>
    </row>
    <row r="43" spans="5:7" x14ac:dyDescent="0.3">
      <c r="E43">
        <f>Table3[[#This Row],[Diff. Fase (microsecondi)]]*10^-6</f>
        <v>0</v>
      </c>
      <c r="F43" s="7">
        <f>Table3[[#This Row],[Colonna1]]-Table3[[#This Row],[T]]</f>
        <v>0</v>
      </c>
      <c r="G43" s="7">
        <f>Table3[[#This Row],[Colonna2]]*10^6</f>
        <v>0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1343963-c43f-42a4-b0bc-b203e64410f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50C6E3A01A79A4BB6F66956A6120D17" ma:contentTypeVersion="10" ma:contentTypeDescription="Creare un nuovo documento." ma:contentTypeScope="" ma:versionID="df8b60f2dc3be3d33ea09aeb8f6dcdfa">
  <xsd:schema xmlns:xsd="http://www.w3.org/2001/XMLSchema" xmlns:xs="http://www.w3.org/2001/XMLSchema" xmlns:p="http://schemas.microsoft.com/office/2006/metadata/properties" xmlns:ns3="21343963-c43f-42a4-b0bc-b203e64410f4" targetNamespace="http://schemas.microsoft.com/office/2006/metadata/properties" ma:root="true" ma:fieldsID="20a5d5cd272d745c84963488382a52fd" ns3:_="">
    <xsd:import namespace="21343963-c43f-42a4-b0bc-b203e64410f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343963-c43f-42a4-b0bc-b203e64410f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A7B56A-0F8B-4756-B43A-47F62DDAFDD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15C15A-57D7-4955-85F0-99981FE33ACB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21343963-c43f-42a4-b0bc-b203e64410f4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DB0549A-B4F5-45DC-9B9B-3230B0448E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343963-c43f-42a4-b0bc-b203e64410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L1</vt:lpstr>
      <vt:lpstr>Dati_1</vt:lpstr>
      <vt:lpstr>L2</vt:lpstr>
      <vt:lpstr>Dati_2</vt:lpstr>
      <vt:lpstr>Risonanza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MIROLO MANUELE [SM2001968]</dc:creator>
  <cp:keywords/>
  <dc:description/>
  <cp:lastModifiedBy>MIROLO MANUELE [SM2001968]</cp:lastModifiedBy>
  <cp:revision/>
  <dcterms:created xsi:type="dcterms:W3CDTF">2025-11-17T07:14:58Z</dcterms:created>
  <dcterms:modified xsi:type="dcterms:W3CDTF">2025-11-19T23:08:56Z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0x010100150C6E3A01A79A4BB6F66956A6120D17</vt:lpwstr>
  </property>
</Properties>
</file>