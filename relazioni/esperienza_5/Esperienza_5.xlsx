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ue\Documents\UNIVERSITA'\II ANNO\LABORATORIO-DI-ELETTROMAGNETISMO\relazioni\esperienza_5\"/>
    </mc:Choice>
  </mc:AlternateContent>
  <xr:revisionPtr revIDLastSave="0" documentId="13_ncr:1_{F2016234-03CC-458C-92E6-AB9C95AC2E85}" xr6:coauthVersionLast="47" xr6:coauthVersionMax="47" xr10:uidLastSave="{00000000-0000-0000-0000-000000000000}"/>
  <bookViews>
    <workbookView xWindow="-108" yWindow="-108" windowWidth="23256" windowHeight="12456" activeTab="1" xr2:uid="{066B9EEB-AFF6-4487-A8A2-736BAC9F48BA}"/>
  </bookViews>
  <sheets>
    <sheet name="L1" sheetId="1" r:id="rId1"/>
    <sheet name="Risonanza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D6" i="3"/>
  <c r="D3" i="3"/>
  <c r="S5" i="1"/>
  <c r="H5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D11" i="1"/>
  <c r="D30" i="1"/>
  <c r="C2" i="1"/>
  <c r="D2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30" i="1"/>
  <c r="C31" i="1"/>
  <c r="D31" i="1" s="1"/>
</calcChain>
</file>

<file path=xl/sharedStrings.xml><?xml version="1.0" encoding="utf-8"?>
<sst xmlns="http://schemas.openxmlformats.org/spreadsheetml/2006/main" count="17" uniqueCount="14">
  <si>
    <t>V</t>
  </si>
  <si>
    <t>T</t>
  </si>
  <si>
    <t>ABS (V)</t>
  </si>
  <si>
    <t>LOG (V)</t>
  </si>
  <si>
    <t>Γ</t>
  </si>
  <si>
    <t>ω</t>
  </si>
  <si>
    <t>L_Γ</t>
  </si>
  <si>
    <t>R</t>
  </si>
  <si>
    <t>C</t>
  </si>
  <si>
    <t>L_ω</t>
  </si>
  <si>
    <t>Hz</t>
  </si>
  <si>
    <t>Vmax/sqrt(2)</t>
  </si>
  <si>
    <t>Vmax</t>
  </si>
  <si>
    <t>w0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</si>
</sst>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Curva esponenziale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'L1'!$C$1</c:f>
              <c:strCache>
                <c:ptCount val="1"/>
                <c:pt idx="0">
                  <c:v>ABS (V)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'L1'!$A$2:$A$31</c:f>
              <c:numCache>
                <c:formatCode>General</c:formatCode>
                <c:ptCount val="30"/>
              </c:numCache>
            </c:numRef>
          </c:xVal>
          <c:yVal>
            <c:numRef>
              <c:f>'L1'!$C$2:$C$31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F1-42C1-A581-4AA3DD796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670463"/>
        <c:axId val="585668543"/>
      </c:scatterChart>
      <c:valAx>
        <c:axId val="585670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668543"/>
        <c:crosses val="autoZero"/>
        <c:crossBetween val="midCat"/>
      </c:valAx>
      <c:valAx>
        <c:axId val="585668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670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Sinusoide</a:t>
            </a:r>
            <a:r>
              <a:rPr lang="en-GB" baseline="0"/>
              <a:t> smorzata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'L1'!$B$1</c:f>
              <c:strCache>
                <c:ptCount val="1"/>
                <c:pt idx="0">
                  <c:v>V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'L1'!$A$2:$A$32</c:f>
              <c:numCache>
                <c:formatCode>General</c:formatCode>
                <c:ptCount val="31"/>
              </c:numCache>
            </c:numRef>
          </c:xVal>
          <c:yVal>
            <c:numRef>
              <c:f>'L1'!$B$2:$B$32</c:f>
              <c:numCache>
                <c:formatCode>General</c:formatCode>
                <c:ptCount val="3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1F-4F8C-99D6-E207EFFC5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806175"/>
        <c:axId val="2033804735"/>
      </c:scatterChart>
      <c:valAx>
        <c:axId val="2033806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804735"/>
        <c:crosses val="autoZero"/>
        <c:crossBetween val="midCat"/>
      </c:valAx>
      <c:valAx>
        <c:axId val="2033804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806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 vs</a:t>
            </a:r>
            <a:r>
              <a:rPr lang="en-GB" baseline="0"/>
              <a:t> Hz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Risonanza!$B$1</c:f>
              <c:strCache>
                <c:ptCount val="1"/>
                <c:pt idx="0">
                  <c:v>V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Risonanza!$A$2:$A$29</c:f>
              <c:numCache>
                <c:formatCode>General</c:formatCode>
                <c:ptCount val="28"/>
              </c:numCache>
            </c:numRef>
          </c:xVal>
          <c:yVal>
            <c:numRef>
              <c:f>Risonanza!$B$2:$B$29</c:f>
              <c:numCache>
                <c:formatCode>General</c:formatCode>
                <c:ptCount val="2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E4-4DB0-8DE4-F393D3340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3303727"/>
        <c:axId val="603300367"/>
      </c:scatterChart>
      <c:valAx>
        <c:axId val="603303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300367"/>
        <c:crosses val="autoZero"/>
        <c:crossBetween val="midCat"/>
      </c:valAx>
      <c:valAx>
        <c:axId val="60330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303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19</xdr:row>
      <xdr:rowOff>161365</xdr:rowOff>
    </xdr:from>
    <xdr:to>
      <xdr:col>12</xdr:col>
      <xdr:colOff>394447</xdr:colOff>
      <xdr:row>37</xdr:row>
      <xdr:rowOff>17930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C2691-067B-85DF-021D-1EF02FBD0F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121920</xdr:colOff>
      <xdr:row>1</xdr:row>
      <xdr:rowOff>0</xdr:rowOff>
    </xdr:from>
    <xdr:ext cx="1436996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CE78BC7-D095-172D-6429-19FEBD5AE802}"/>
                </a:ext>
              </a:extLst>
            </xdr:cNvPr>
            <xdr:cNvSpPr txBox="1"/>
          </xdr:nvSpPr>
          <xdr:spPr>
            <a:xfrm>
              <a:off x="3368040" y="182880"/>
              <a:ext cx="1436996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𝑉</m:t>
                    </m:r>
                    <m:d>
                      <m:d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𝑒𝑥𝑝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(</m:t>
                    </m:r>
                    <m:d>
                      <m:d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m:rPr>
                            <m:sty m:val="p"/>
                          </m:rPr>
                          <a:rPr lang="el-GR" sz="1100" b="0" i="0">
                            <a:latin typeface="Cambria Math" panose="02040503050406030204" pitchFamily="18" charset="0"/>
                          </a:rPr>
                          <m:t>Γ</m:t>
                        </m:r>
                        <m:r>
                          <m:rPr>
                            <m:lit/>
                          </m:rPr>
                          <a:rPr lang="en-GB" sz="1100" b="0" i="1">
                            <a:latin typeface="Cambria Math" panose="02040503050406030204" pitchFamily="18" charset="0"/>
                          </a:rPr>
                          <m:t>/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2</m:t>
                        </m:r>
                      </m:e>
                    </m:d>
                    <m:r>
                      <a:rPr lang="en-GB" sz="1100" b="0" i="1">
                        <a:latin typeface="Cambria Math" panose="02040503050406030204" pitchFamily="18" charset="0"/>
                      </a:rPr>
                      <m:t> ∗ </m:t>
                    </m:r>
                    <m:r>
                      <m:rPr>
                        <m:sty m:val="p"/>
                      </m:rPr>
                      <a:rPr lang="en-GB" sz="1100" b="0" i="1">
                        <a:latin typeface="Cambria Math" panose="02040503050406030204" pitchFamily="18" charset="0"/>
                      </a:rPr>
                      <m:t>t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 b="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CE78BC7-D095-172D-6429-19FEBD5AE802}"/>
                </a:ext>
              </a:extLst>
            </xdr:cNvPr>
            <xdr:cNvSpPr txBox="1"/>
          </xdr:nvSpPr>
          <xdr:spPr>
            <a:xfrm>
              <a:off x="3368040" y="182880"/>
              <a:ext cx="1436996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𝑉(𝑡)=𝑒𝑥𝑝((−</a:t>
              </a:r>
              <a:r>
                <a:rPr lang="el-GR" sz="1100" b="0" i="0">
                  <a:latin typeface="Cambria Math" panose="02040503050406030204" pitchFamily="18" charset="0"/>
                </a:rPr>
                <a:t>Γ</a:t>
              </a:r>
              <a:r>
                <a:rPr lang="en-GB" sz="1100" b="0" i="0">
                  <a:latin typeface="Cambria Math" panose="02040503050406030204" pitchFamily="18" charset="0"/>
                </a:rPr>
                <a:t>\/2)  * t)</a:t>
              </a:r>
              <a:endParaRPr lang="en-GB" sz="1100" b="0"/>
            </a:p>
          </xdr:txBody>
        </xdr:sp>
      </mc:Fallback>
    </mc:AlternateContent>
    <xdr:clientData/>
  </xdr:oneCellAnchor>
  <xdr:oneCellAnchor>
    <xdr:from>
      <xdr:col>5</xdr:col>
      <xdr:colOff>220980</xdr:colOff>
      <xdr:row>1</xdr:row>
      <xdr:rowOff>171450</xdr:rowOff>
    </xdr:from>
    <xdr:ext cx="112146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9BF1A24-B06E-01C8-E6E7-192D40C765CA}"/>
                </a:ext>
              </a:extLst>
            </xdr:cNvPr>
            <xdr:cNvSpPr txBox="1"/>
          </xdr:nvSpPr>
          <xdr:spPr>
            <a:xfrm>
              <a:off x="3467100" y="354330"/>
              <a:ext cx="112146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𝑙𝑜𝑔</m:t>
                    </m:r>
                    <m:d>
                      <m:d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</m:d>
                    <m:r>
                      <a:rPr lang="en-GB" sz="1100" b="0" i="1">
                        <a:latin typeface="Cambria Math" panose="02040503050406030204" pitchFamily="18" charset="0"/>
                      </a:rPr>
                      <m:t>=(−</m:t>
                    </m:r>
                    <m:r>
                      <m:rPr>
                        <m:sty m:val="p"/>
                      </m:rPr>
                      <a:rPr lang="el-GR" sz="1100" b="0" i="0">
                        <a:latin typeface="Cambria Math" panose="02040503050406030204" pitchFamily="18" charset="0"/>
                      </a:rPr>
                      <m:t>Γ</m:t>
                    </m:r>
                    <m:r>
                      <m:rPr>
                        <m:lit/>
                      </m:rPr>
                      <a:rPr lang="en-GB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2)</m:t>
                    </m:r>
                    <m:r>
                      <m:rPr>
                        <m:sty m:val="p"/>
                      </m:rPr>
                      <a:rPr lang="en-GB" sz="1100" b="0" i="1">
                        <a:latin typeface="Cambria Math" panose="02040503050406030204" pitchFamily="18" charset="0"/>
                      </a:rPr>
                      <m:t>t</m:t>
                    </m:r>
                  </m:oMath>
                </m:oMathPara>
              </a14:m>
              <a:endParaRPr lang="en-GB" sz="1100" b="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9BF1A24-B06E-01C8-E6E7-192D40C765CA}"/>
                </a:ext>
              </a:extLst>
            </xdr:cNvPr>
            <xdr:cNvSpPr txBox="1"/>
          </xdr:nvSpPr>
          <xdr:spPr>
            <a:xfrm>
              <a:off x="3467100" y="354330"/>
              <a:ext cx="112146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𝑙𝑜𝑔(𝑉)=(−</a:t>
              </a:r>
              <a:r>
                <a:rPr lang="el-GR" sz="1100" b="0" i="0">
                  <a:latin typeface="Cambria Math" panose="02040503050406030204" pitchFamily="18" charset="0"/>
                </a:rPr>
                <a:t>Γ</a:t>
              </a:r>
              <a:r>
                <a:rPr lang="en-GB" sz="1100" b="0" i="0">
                  <a:latin typeface="Cambria Math" panose="02040503050406030204" pitchFamily="18" charset="0"/>
                </a:rPr>
                <a:t>\/2)t</a:t>
              </a:r>
              <a:endParaRPr lang="en-GB" sz="1100" b="0"/>
            </a:p>
          </xdr:txBody>
        </xdr:sp>
      </mc:Fallback>
    </mc:AlternateContent>
    <xdr:clientData/>
  </xdr:oneCellAnchor>
  <xdr:oneCellAnchor>
    <xdr:from>
      <xdr:col>15</xdr:col>
      <xdr:colOff>198120</xdr:colOff>
      <xdr:row>0</xdr:row>
      <xdr:rowOff>41910</xdr:rowOff>
    </xdr:from>
    <xdr:ext cx="453329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60A6772-1DE1-7283-9C76-8DA3E1EAF01B}"/>
            </a:ext>
          </a:extLst>
        </xdr:cNvPr>
        <xdr:cNvSpPr txBox="1"/>
      </xdr:nvSpPr>
      <xdr:spPr>
        <a:xfrm>
          <a:off x="9738360" y="41910"/>
          <a:ext cx="453329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l-GR" sz="1100"/>
            <a:t>ω</a:t>
          </a:r>
          <a:r>
            <a:rPr lang="en-GB" sz="1100"/>
            <a:t>=</a:t>
          </a:r>
          <a:r>
            <a:rPr lang="en-GB" sz="1100" baseline="0"/>
            <a:t> 2</a:t>
          </a:r>
          <a:r>
            <a:rPr lang="el-GR" sz="1100" baseline="0"/>
            <a:t>π</a:t>
          </a:r>
          <a:r>
            <a:rPr lang="en-GB" sz="1100" baseline="0"/>
            <a:t>/T</a:t>
          </a:r>
        </a:p>
      </xdr:txBody>
    </xdr:sp>
    <xdr:clientData/>
  </xdr:oneCellAnchor>
  <xdr:oneCellAnchor>
    <xdr:from>
      <xdr:col>16</xdr:col>
      <xdr:colOff>137160</xdr:colOff>
      <xdr:row>1</xdr:row>
      <xdr:rowOff>11430</xdr:rowOff>
    </xdr:from>
    <xdr:ext cx="630685" cy="3180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DBA22E5-6867-ABE1-D8B7-22FD54AB1266}"/>
                </a:ext>
              </a:extLst>
            </xdr:cNvPr>
            <xdr:cNvSpPr txBox="1"/>
          </xdr:nvSpPr>
          <xdr:spPr>
            <a:xfrm>
              <a:off x="10287000" y="194310"/>
              <a:ext cx="630685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GB" sz="1100" b="0" i="1">
                        <a:latin typeface="Cambria Math" panose="02040503050406030204" pitchFamily="18" charset="0"/>
                      </a:rPr>
                      <m:t>L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m:rPr>
                            <m:sty m:val="p"/>
                          </m:rPr>
                          <a:rPr lang="en-GB" sz="1100" b="0" i="1">
                            <a:latin typeface="Cambria Math" panose="02040503050406030204" pitchFamily="18" charset="0"/>
                          </a:rPr>
                          <m:t>w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^2</m:t>
                        </m:r>
                        <m:r>
                          <m:rPr>
                            <m:sty m:val="p"/>
                          </m:rPr>
                          <a:rPr lang="en-GB" sz="1100" b="0" i="1">
                            <a:latin typeface="Cambria Math" panose="02040503050406030204" pitchFamily="18" charset="0"/>
                          </a:rPr>
                          <m:t>C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DBA22E5-6867-ABE1-D8B7-22FD54AB1266}"/>
                </a:ext>
              </a:extLst>
            </xdr:cNvPr>
            <xdr:cNvSpPr txBox="1"/>
          </xdr:nvSpPr>
          <xdr:spPr>
            <a:xfrm>
              <a:off x="10287000" y="194310"/>
              <a:ext cx="630685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L=1/(w^2C)</a:t>
              </a:r>
              <a:endParaRPr lang="en-GB" sz="1100"/>
            </a:p>
          </xdr:txBody>
        </xdr:sp>
      </mc:Fallback>
    </mc:AlternateContent>
    <xdr:clientData/>
  </xdr:oneCellAnchor>
  <xdr:twoCellAnchor>
    <xdr:from>
      <xdr:col>4</xdr:col>
      <xdr:colOff>94128</xdr:colOff>
      <xdr:row>5</xdr:row>
      <xdr:rowOff>170329</xdr:rowOff>
    </xdr:from>
    <xdr:to>
      <xdr:col>12</xdr:col>
      <xdr:colOff>385482</xdr:colOff>
      <xdr:row>19</xdr:row>
      <xdr:rowOff>125506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340C286-BC8E-7688-944B-A66BA91DDD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91440</xdr:colOff>
      <xdr:row>0</xdr:row>
      <xdr:rowOff>34290</xdr:rowOff>
    </xdr:from>
    <xdr:to>
      <xdr:col>13</xdr:col>
      <xdr:colOff>396240</xdr:colOff>
      <xdr:row>15</xdr:row>
      <xdr:rowOff>34290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F3DB58-3FE2-3724-B11A-EA52B4185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A7EE3E-C3C2-4BAA-8E87-7E02D8C58FFA}" name="Table1" displayName="Table1" ref="A1:D31" totalsRowShown="0">
  <autoFilter ref="A1:D31" xr:uid="{3AA7EE3E-C3C2-4BAA-8E87-7E02D8C58FFA}"/>
  <tableColumns count="4">
    <tableColumn id="1" xr3:uid="{C626C330-FD79-45A3-B8DF-6B39CDA50024}" name="T"/>
    <tableColumn id="2" xr3:uid="{44E3CB14-F34F-4A89-B2F9-FE4629E1E298}" name="V"/>
    <tableColumn id="3" xr3:uid="{C4BDB369-6D4F-4239-AEA0-3774AE65DBEF}" name="ABS (V)" dataDxfId="2">
      <calculatedColumnFormula>ABS(Table1[[#This Row],[V]])</calculatedColumnFormula>
    </tableColumn>
    <tableColumn id="4" xr3:uid="{BCB6F187-81AD-4D7B-B93F-C857695F1493}" name="LOG (V)" dataDxfId="1">
      <calculatedColumnFormula>LOG(Table1[[#This Row],[ABS (V)]])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76AA7DF-FC41-448F-BF99-19C24831DA7F}" name="Table2" displayName="Table2" ref="N1:O32" totalsRowShown="0">
  <autoFilter ref="N1:O32" xr:uid="{C76AA7DF-FC41-448F-BF99-19C24831DA7F}"/>
  <tableColumns count="2">
    <tableColumn id="1" xr3:uid="{7E9A8B06-0CC1-48AC-9DC9-DBB0D9F82EA3}" name="T"/>
    <tableColumn id="2" xr3:uid="{E69D9750-5813-4140-90A8-BE9515CD1A2C}" name="ω" dataDxfId="0">
      <calculatedColumnFormula>2*PI()/Table2[[#This Row],[T]]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08DF2C-9D4D-4917-83E5-F32958855A42}" name="Table3" displayName="Table3" ref="A1:B29" totalsRowShown="0">
  <autoFilter ref="A1:B29" xr:uid="{B208DF2C-9D4D-4917-83E5-F32958855A42}"/>
  <tableColumns count="2">
    <tableColumn id="1" xr3:uid="{255D6A9A-C513-49ED-9502-D35A0809331F}" name="Hz"/>
    <tableColumn id="2" xr3:uid="{FA7A5E3C-40F3-450A-AAC7-9E4839D86104}" name="V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F0A54-13A3-492C-882B-8C85E5EEBC72}">
  <dimension ref="A1:S32"/>
  <sheetViews>
    <sheetView zoomScale="85" workbookViewId="0">
      <selection activeCell="S5" sqref="S5"/>
    </sheetView>
  </sheetViews>
  <sheetFormatPr defaultRowHeight="14.4" x14ac:dyDescent="0.3"/>
  <cols>
    <col min="1" max="2" width="10.33203125" customWidth="1"/>
    <col min="14" max="15" width="10.33203125" customWidth="1"/>
  </cols>
  <sheetData>
    <row r="1" spans="1:19" x14ac:dyDescent="0.3">
      <c r="A1" t="s">
        <v>1</v>
      </c>
      <c r="B1" t="s">
        <v>0</v>
      </c>
      <c r="C1" t="s">
        <v>2</v>
      </c>
      <c r="D1" t="s">
        <v>3</v>
      </c>
      <c r="N1" t="s">
        <v>1</v>
      </c>
      <c r="O1" t="s">
        <v>5</v>
      </c>
    </row>
    <row r="2" spans="1:19" x14ac:dyDescent="0.3">
      <c r="C2">
        <f>ABS(Table1[[#This Row],[V]])</f>
        <v>0</v>
      </c>
      <c r="D2" t="e">
        <f>LOG(Table1[[#This Row],[ABS (V)]])</f>
        <v>#NUM!</v>
      </c>
      <c r="O2" t="e">
        <f>2*PI()/Table2[[#This Row],[T]]</f>
        <v>#DIV/0!</v>
      </c>
    </row>
    <row r="3" spans="1:19" x14ac:dyDescent="0.3">
      <c r="C3">
        <f>ABS(Table1[[#This Row],[V]])</f>
        <v>0</v>
      </c>
      <c r="D3" t="e">
        <f>LOG(Table1[[#This Row],[ABS (V)]])</f>
        <v>#NUM!</v>
      </c>
      <c r="O3" t="e">
        <f>2*PI()/Table2[[#This Row],[T]]</f>
        <v>#DIV/0!</v>
      </c>
    </row>
    <row r="4" spans="1:19" x14ac:dyDescent="0.3">
      <c r="C4">
        <f>ABS(Table1[[#This Row],[V]])</f>
        <v>0</v>
      </c>
      <c r="D4" t="e">
        <f>LOG(Table1[[#This Row],[ABS (V)]])</f>
        <v>#NUM!</v>
      </c>
      <c r="F4" s="1" t="s">
        <v>7</v>
      </c>
      <c r="G4" s="1" t="s">
        <v>4</v>
      </c>
      <c r="H4" s="1" t="s">
        <v>6</v>
      </c>
      <c r="O4" t="e">
        <f>2*PI()/Table2[[#This Row],[T]]</f>
        <v>#DIV/0!</v>
      </c>
      <c r="Q4" s="1" t="s">
        <v>8</v>
      </c>
      <c r="R4" s="1" t="s">
        <v>5</v>
      </c>
      <c r="S4" s="1" t="s">
        <v>9</v>
      </c>
    </row>
    <row r="5" spans="1:19" x14ac:dyDescent="0.3">
      <c r="C5">
        <f>ABS(Table1[[#This Row],[V]])</f>
        <v>0</v>
      </c>
      <c r="D5" t="e">
        <f>LOG(Table1[[#This Row],[ABS (V)]])</f>
        <v>#NUM!</v>
      </c>
      <c r="F5" s="1"/>
      <c r="G5" s="1"/>
      <c r="H5" s="1" t="e">
        <f>F5/G5</f>
        <v>#DIV/0!</v>
      </c>
      <c r="O5" t="e">
        <f>2*PI()/Table2[[#This Row],[T]]</f>
        <v>#DIV/0!</v>
      </c>
      <c r="Q5" s="1"/>
      <c r="R5" s="1"/>
      <c r="S5" s="1" t="e">
        <f>1/(R5^2*Q5)</f>
        <v>#DIV/0!</v>
      </c>
    </row>
    <row r="6" spans="1:19" x14ac:dyDescent="0.3">
      <c r="C6">
        <f>ABS(Table1[[#This Row],[V]])</f>
        <v>0</v>
      </c>
      <c r="D6" t="e">
        <f>LOG(Table1[[#This Row],[ABS (V)]])</f>
        <v>#NUM!</v>
      </c>
      <c r="O6" t="e">
        <f>2*PI()/Table2[[#This Row],[T]]</f>
        <v>#DIV/0!</v>
      </c>
    </row>
    <row r="7" spans="1:19" x14ac:dyDescent="0.3">
      <c r="C7">
        <f>ABS(Table1[[#This Row],[V]])</f>
        <v>0</v>
      </c>
      <c r="D7" t="e">
        <f>LOG(Table1[[#This Row],[ABS (V)]])</f>
        <v>#NUM!</v>
      </c>
      <c r="O7" t="e">
        <f>2*PI()/Table2[[#This Row],[T]]</f>
        <v>#DIV/0!</v>
      </c>
    </row>
    <row r="8" spans="1:19" x14ac:dyDescent="0.3">
      <c r="C8">
        <f>ABS(Table1[[#This Row],[V]])</f>
        <v>0</v>
      </c>
      <c r="D8" t="e">
        <f>LOG(Table1[[#This Row],[ABS (V)]])</f>
        <v>#NUM!</v>
      </c>
      <c r="O8" t="e">
        <f>2*PI()/Table2[[#This Row],[T]]</f>
        <v>#DIV/0!</v>
      </c>
    </row>
    <row r="9" spans="1:19" x14ac:dyDescent="0.3">
      <c r="C9">
        <f>ABS(Table1[[#This Row],[V]])</f>
        <v>0</v>
      </c>
      <c r="D9" t="e">
        <f>LOG(Table1[[#This Row],[ABS (V)]])</f>
        <v>#NUM!</v>
      </c>
      <c r="O9" t="e">
        <f>2*PI()/Table2[[#This Row],[T]]</f>
        <v>#DIV/0!</v>
      </c>
    </row>
    <row r="10" spans="1:19" x14ac:dyDescent="0.3">
      <c r="C10">
        <f>ABS(Table1[[#This Row],[V]])</f>
        <v>0</v>
      </c>
      <c r="D10" t="e">
        <f>LOG(Table1[[#This Row],[ABS (V)]])</f>
        <v>#NUM!</v>
      </c>
      <c r="O10" t="e">
        <f>2*PI()/Table2[[#This Row],[T]]</f>
        <v>#DIV/0!</v>
      </c>
    </row>
    <row r="11" spans="1:19" x14ac:dyDescent="0.3">
      <c r="C11">
        <f>ABS(Table1[[#This Row],[V]])</f>
        <v>0</v>
      </c>
      <c r="D11" t="e">
        <f>LOG(Table1[[#This Row],[ABS (V)]])</f>
        <v>#NUM!</v>
      </c>
      <c r="O11" t="e">
        <f>2*PI()/Table2[[#This Row],[T]]</f>
        <v>#DIV/0!</v>
      </c>
    </row>
    <row r="12" spans="1:19" x14ac:dyDescent="0.3">
      <c r="C12">
        <f>ABS(Table1[[#This Row],[V]])</f>
        <v>0</v>
      </c>
      <c r="D12" t="e">
        <f>LOG(Table1[[#This Row],[ABS (V)]])</f>
        <v>#NUM!</v>
      </c>
      <c r="O12" t="e">
        <f>2*PI()/Table2[[#This Row],[T]]</f>
        <v>#DIV/0!</v>
      </c>
    </row>
    <row r="13" spans="1:19" x14ac:dyDescent="0.3">
      <c r="C13">
        <f>ABS(Table1[[#This Row],[V]])</f>
        <v>0</v>
      </c>
      <c r="D13" t="e">
        <f>LOG(Table1[[#This Row],[ABS (V)]])</f>
        <v>#NUM!</v>
      </c>
      <c r="O13" t="e">
        <f>2*PI()/Table2[[#This Row],[T]]</f>
        <v>#DIV/0!</v>
      </c>
    </row>
    <row r="14" spans="1:19" x14ac:dyDescent="0.3">
      <c r="C14">
        <f>ABS(Table1[[#This Row],[V]])</f>
        <v>0</v>
      </c>
      <c r="D14" t="e">
        <f>LOG(Table1[[#This Row],[ABS (V)]])</f>
        <v>#NUM!</v>
      </c>
      <c r="O14" t="e">
        <f>2*PI()/Table2[[#This Row],[T]]</f>
        <v>#DIV/0!</v>
      </c>
    </row>
    <row r="15" spans="1:19" x14ac:dyDescent="0.3">
      <c r="C15">
        <f>ABS(Table1[[#This Row],[V]])</f>
        <v>0</v>
      </c>
      <c r="D15" t="e">
        <f>LOG(Table1[[#This Row],[ABS (V)]])</f>
        <v>#NUM!</v>
      </c>
      <c r="O15" t="e">
        <f>2*PI()/Table2[[#This Row],[T]]</f>
        <v>#DIV/0!</v>
      </c>
    </row>
    <row r="16" spans="1:19" x14ac:dyDescent="0.3">
      <c r="C16">
        <f>ABS(Table1[[#This Row],[V]])</f>
        <v>0</v>
      </c>
      <c r="D16" t="e">
        <f>LOG(Table1[[#This Row],[ABS (V)]])</f>
        <v>#NUM!</v>
      </c>
      <c r="O16" t="e">
        <f>2*PI()/Table2[[#This Row],[T]]</f>
        <v>#DIV/0!</v>
      </c>
    </row>
    <row r="17" spans="3:15" x14ac:dyDescent="0.3">
      <c r="C17">
        <f>ABS(Table1[[#This Row],[V]])</f>
        <v>0</v>
      </c>
      <c r="D17" t="e">
        <f>LOG(Table1[[#This Row],[ABS (V)]])</f>
        <v>#NUM!</v>
      </c>
      <c r="O17" t="e">
        <f>2*PI()/Table2[[#This Row],[T]]</f>
        <v>#DIV/0!</v>
      </c>
    </row>
    <row r="18" spans="3:15" x14ac:dyDescent="0.3">
      <c r="C18">
        <f>ABS(Table1[[#This Row],[V]])</f>
        <v>0</v>
      </c>
      <c r="D18" t="e">
        <f>LOG(Table1[[#This Row],[ABS (V)]])</f>
        <v>#NUM!</v>
      </c>
      <c r="O18" t="e">
        <f>2*PI()/Table2[[#This Row],[T]]</f>
        <v>#DIV/0!</v>
      </c>
    </row>
    <row r="19" spans="3:15" x14ac:dyDescent="0.3">
      <c r="C19">
        <f>ABS(Table1[[#This Row],[V]])</f>
        <v>0</v>
      </c>
      <c r="D19" t="e">
        <f>LOG(Table1[[#This Row],[ABS (V)]])</f>
        <v>#NUM!</v>
      </c>
      <c r="O19" t="e">
        <f>2*PI()/Table2[[#This Row],[T]]</f>
        <v>#DIV/0!</v>
      </c>
    </row>
    <row r="20" spans="3:15" x14ac:dyDescent="0.3">
      <c r="C20">
        <f>ABS(Table1[[#This Row],[V]])</f>
        <v>0</v>
      </c>
      <c r="D20" t="e">
        <f>LOG(Table1[[#This Row],[ABS (V)]])</f>
        <v>#NUM!</v>
      </c>
      <c r="O20" t="e">
        <f>2*PI()/Table2[[#This Row],[T]]</f>
        <v>#DIV/0!</v>
      </c>
    </row>
    <row r="21" spans="3:15" x14ac:dyDescent="0.3">
      <c r="C21">
        <f>ABS(Table1[[#This Row],[V]])</f>
        <v>0</v>
      </c>
      <c r="D21" t="e">
        <f>LOG(Table1[[#This Row],[ABS (V)]])</f>
        <v>#NUM!</v>
      </c>
      <c r="O21" t="e">
        <f>2*PI()/Table2[[#This Row],[T]]</f>
        <v>#DIV/0!</v>
      </c>
    </row>
    <row r="22" spans="3:15" x14ac:dyDescent="0.3">
      <c r="C22">
        <f>ABS(Table1[[#This Row],[V]])</f>
        <v>0</v>
      </c>
      <c r="D22" t="e">
        <f>LOG(Table1[[#This Row],[ABS (V)]])</f>
        <v>#NUM!</v>
      </c>
      <c r="O22" t="e">
        <f>2*PI()/Table2[[#This Row],[T]]</f>
        <v>#DIV/0!</v>
      </c>
    </row>
    <row r="23" spans="3:15" x14ac:dyDescent="0.3">
      <c r="C23">
        <f>ABS(Table1[[#This Row],[V]])</f>
        <v>0</v>
      </c>
      <c r="D23" t="e">
        <f>LOG(Table1[[#This Row],[ABS (V)]])</f>
        <v>#NUM!</v>
      </c>
      <c r="O23" t="e">
        <f>2*PI()/Table2[[#This Row],[T]]</f>
        <v>#DIV/0!</v>
      </c>
    </row>
    <row r="24" spans="3:15" x14ac:dyDescent="0.3">
      <c r="C24">
        <f>ABS(Table1[[#This Row],[V]])</f>
        <v>0</v>
      </c>
      <c r="D24" t="e">
        <f>LOG(Table1[[#This Row],[ABS (V)]])</f>
        <v>#NUM!</v>
      </c>
      <c r="O24" t="e">
        <f>2*PI()/Table2[[#This Row],[T]]</f>
        <v>#DIV/0!</v>
      </c>
    </row>
    <row r="25" spans="3:15" x14ac:dyDescent="0.3">
      <c r="C25">
        <f>ABS(Table1[[#This Row],[V]])</f>
        <v>0</v>
      </c>
      <c r="D25" t="e">
        <f>LOG(Table1[[#This Row],[ABS (V)]])</f>
        <v>#NUM!</v>
      </c>
      <c r="O25" t="e">
        <f>2*PI()/Table2[[#This Row],[T]]</f>
        <v>#DIV/0!</v>
      </c>
    </row>
    <row r="26" spans="3:15" x14ac:dyDescent="0.3">
      <c r="C26">
        <f>ABS(Table1[[#This Row],[V]])</f>
        <v>0</v>
      </c>
      <c r="D26" t="e">
        <f>LOG(Table1[[#This Row],[ABS (V)]])</f>
        <v>#NUM!</v>
      </c>
      <c r="O26" t="e">
        <f>2*PI()/Table2[[#This Row],[T]]</f>
        <v>#DIV/0!</v>
      </c>
    </row>
    <row r="27" spans="3:15" x14ac:dyDescent="0.3">
      <c r="C27">
        <f>ABS(Table1[[#This Row],[V]])</f>
        <v>0</v>
      </c>
      <c r="D27" t="e">
        <f>LOG(Table1[[#This Row],[ABS (V)]])</f>
        <v>#NUM!</v>
      </c>
      <c r="O27" t="e">
        <f>2*PI()/Table2[[#This Row],[T]]</f>
        <v>#DIV/0!</v>
      </c>
    </row>
    <row r="28" spans="3:15" x14ac:dyDescent="0.3">
      <c r="C28">
        <f>ABS(Table1[[#This Row],[V]])</f>
        <v>0</v>
      </c>
      <c r="D28" t="e">
        <f>LOG(Table1[[#This Row],[ABS (V)]])</f>
        <v>#NUM!</v>
      </c>
      <c r="O28" t="e">
        <f>2*PI()/Table2[[#This Row],[T]]</f>
        <v>#DIV/0!</v>
      </c>
    </row>
    <row r="29" spans="3:15" x14ac:dyDescent="0.3">
      <c r="C29">
        <f>ABS(Table1[[#This Row],[V]])</f>
        <v>0</v>
      </c>
      <c r="D29" t="e">
        <f>LOG(Table1[[#This Row],[ABS (V)]])</f>
        <v>#NUM!</v>
      </c>
      <c r="O29" t="e">
        <f>2*PI()/Table2[[#This Row],[T]]</f>
        <v>#DIV/0!</v>
      </c>
    </row>
    <row r="30" spans="3:15" x14ac:dyDescent="0.3">
      <c r="C30">
        <f>ABS(Table1[[#This Row],[V]])</f>
        <v>0</v>
      </c>
      <c r="D30" t="e">
        <f>LOG(Table1[[#This Row],[ABS (V)]])</f>
        <v>#NUM!</v>
      </c>
      <c r="O30" t="e">
        <f>2*PI()/Table2[[#This Row],[T]]</f>
        <v>#DIV/0!</v>
      </c>
    </row>
    <row r="31" spans="3:15" x14ac:dyDescent="0.3">
      <c r="C31">
        <f>ABS(Table1[[#This Row],[V]])</f>
        <v>0</v>
      </c>
      <c r="D31" t="e">
        <f>LOG(Table1[[#This Row],[ABS (V)]])</f>
        <v>#NUM!</v>
      </c>
      <c r="O31" t="e">
        <f>2*PI()/Table2[[#This Row],[T]]</f>
        <v>#DIV/0!</v>
      </c>
    </row>
    <row r="32" spans="3:15" x14ac:dyDescent="0.3">
      <c r="O32" t="e">
        <f>2*PI()/Table2[[#This Row],[T]]</f>
        <v>#DIV/0!</v>
      </c>
    </row>
  </sheetData>
  <pageMargins left="0.7" right="0.7" top="0.75" bottom="0.75" header="0.3" footer="0.3"/>
  <ignoredErrors>
    <ignoredError sqref="D2" evalError="1"/>
  </ignoredErrors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1FE4C-3AEF-4149-AA8B-04A42B5DF931}">
  <dimension ref="A1:E6"/>
  <sheetViews>
    <sheetView tabSelected="1" workbookViewId="0">
      <selection activeCell="F12" sqref="F12"/>
    </sheetView>
  </sheetViews>
  <sheetFormatPr defaultRowHeight="14.4" x14ac:dyDescent="0.3"/>
  <cols>
    <col min="1" max="2" width="10.33203125" customWidth="1"/>
    <col min="4" max="4" width="11.33203125" bestFit="1" customWidth="1"/>
  </cols>
  <sheetData>
    <row r="1" spans="1:5" x14ac:dyDescent="0.3">
      <c r="A1" t="s">
        <v>10</v>
      </c>
      <c r="B1" t="s">
        <v>0</v>
      </c>
    </row>
    <row r="2" spans="1:5" x14ac:dyDescent="0.3">
      <c r="D2" s="1" t="s">
        <v>11</v>
      </c>
    </row>
    <row r="3" spans="1:5" x14ac:dyDescent="0.3">
      <c r="D3" s="1">
        <f>MAX(B:B)/SQRT(2)</f>
        <v>0</v>
      </c>
    </row>
    <row r="5" spans="1:5" x14ac:dyDescent="0.3">
      <c r="D5" s="1" t="s">
        <v>12</v>
      </c>
      <c r="E5" s="1" t="s">
        <v>13</v>
      </c>
    </row>
    <row r="6" spans="1:5" x14ac:dyDescent="0.3">
      <c r="D6" s="1">
        <f>MAX(B:B)</f>
        <v>0</v>
      </c>
      <c r="E6" s="1" t="e">
        <f>INDEX(A:A, MATCH(MAX(B:B), B:B, 0))</f>
        <v>#N/A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L1</vt:lpstr>
      <vt:lpstr>Risonanza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MIROLO MANUELE [SM2001968]</dc:creator>
  <cp:lastModifiedBy>MIROLO MANUELE [SM2001968]</cp:lastModifiedBy>
  <dcterms:created xsi:type="dcterms:W3CDTF">2025-11-17T07:14:58Z</dcterms:created>
  <dcterms:modified xsi:type="dcterms:W3CDTF">2025-11-18T08:10:07Z</dcterms:modified>
</cp:coreProperties>
</file>