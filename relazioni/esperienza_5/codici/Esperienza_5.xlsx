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5\"/>
    </mc:Choice>
  </mc:AlternateContent>
  <xr:revisionPtr revIDLastSave="0" documentId="13_ncr:1_{6E738BFC-C7E1-40BF-B3BB-6C6DEA5D66B6}" xr6:coauthVersionLast="47" xr6:coauthVersionMax="47" xr10:uidLastSave="{00000000-0000-0000-0000-000000000000}"/>
  <bookViews>
    <workbookView xWindow="-108" yWindow="-108" windowWidth="23256" windowHeight="12456" activeTab="3" xr2:uid="{066B9EEB-AFF6-4487-A8A2-736BAC9F48BA}"/>
  </bookViews>
  <sheets>
    <sheet name="Dati_1" sheetId="5" r:id="rId1"/>
    <sheet name="Dati_2" sheetId="6" r:id="rId2"/>
    <sheet name="L2" sheetId="4" r:id="rId3"/>
    <sheet name="Risonanza" sheetId="3" r:id="rId4"/>
    <sheet name="risultati" sheetId="7" r:id="rId5"/>
    <sheet name="L1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3" l="1"/>
  <c r="N22" i="3"/>
  <c r="M26" i="3"/>
  <c r="N14" i="3"/>
  <c r="T5" i="4" l="1"/>
  <c r="U5" i="4" s="1"/>
  <c r="I5" i="4"/>
  <c r="M22" i="3"/>
  <c r="N15" i="3"/>
  <c r="E5" i="3" s="1"/>
  <c r="E2" i="3" s="1"/>
  <c r="O10" i="3"/>
  <c r="N5" i="3"/>
  <c r="N4" i="3"/>
  <c r="N3" i="3"/>
  <c r="A13" i="7"/>
  <c r="N13" i="7"/>
  <c r="E13" i="7"/>
  <c r="B13" i="7"/>
  <c r="N6" i="7"/>
  <c r="E6" i="7"/>
  <c r="H6" i="7"/>
  <c r="K6" i="7" s="1"/>
  <c r="B6" i="7"/>
  <c r="H10" i="7"/>
  <c r="L10" i="7" s="1"/>
  <c r="F10" i="7"/>
  <c r="S5" i="1"/>
  <c r="F3" i="7"/>
  <c r="I3" i="7" s="1"/>
  <c r="F6" i="1"/>
  <c r="G5" i="1"/>
  <c r="Y5" i="4"/>
  <c r="X5" i="1"/>
  <c r="X5" i="4"/>
  <c r="W5" i="4"/>
  <c r="S8" i="1"/>
  <c r="V5" i="1"/>
  <c r="H5" i="1"/>
  <c r="N18" i="1"/>
  <c r="O18" i="1" s="1"/>
  <c r="N11" i="1"/>
  <c r="O11" i="1" s="1"/>
  <c r="N8" i="1"/>
  <c r="O8" i="1" s="1"/>
  <c r="N32" i="1"/>
  <c r="O32" i="1" s="1"/>
  <c r="N7" i="1"/>
  <c r="O7" i="1" s="1"/>
  <c r="N25" i="1"/>
  <c r="O25" i="1" s="1"/>
  <c r="N5" i="1"/>
  <c r="O5" i="1" s="1"/>
  <c r="N20" i="1"/>
  <c r="O20" i="1" s="1"/>
  <c r="N31" i="1"/>
  <c r="O31" i="1" s="1"/>
  <c r="N14" i="1"/>
  <c r="O14" i="1" s="1"/>
  <c r="N3" i="1"/>
  <c r="O3" i="1" s="1"/>
  <c r="N13" i="1"/>
  <c r="O13" i="1" s="1"/>
  <c r="N10" i="1"/>
  <c r="O10" i="1" s="1"/>
  <c r="N4" i="1"/>
  <c r="O4" i="1" s="1"/>
  <c r="N9" i="1"/>
  <c r="O9" i="1" s="1"/>
  <c r="N21" i="1"/>
  <c r="O21" i="1" s="1"/>
  <c r="N23" i="1"/>
  <c r="O23" i="1" s="1"/>
  <c r="N28" i="1"/>
  <c r="O28" i="1" s="1"/>
  <c r="N2" i="1"/>
  <c r="O2" i="1" s="1"/>
  <c r="N15" i="1"/>
  <c r="O15" i="1" s="1"/>
  <c r="N19" i="1"/>
  <c r="O19" i="1" s="1"/>
  <c r="N24" i="1"/>
  <c r="O24" i="1" s="1"/>
  <c r="N30" i="1"/>
  <c r="O30" i="1" s="1"/>
  <c r="N27" i="1"/>
  <c r="O27" i="1" s="1"/>
  <c r="N26" i="1"/>
  <c r="O26" i="1" s="1"/>
  <c r="N6" i="1"/>
  <c r="O6" i="1" s="1"/>
  <c r="N16" i="1"/>
  <c r="O16" i="1" s="1"/>
  <c r="N29" i="1"/>
  <c r="O29" i="1" s="1"/>
  <c r="N22" i="1"/>
  <c r="O22" i="1" s="1"/>
  <c r="B19" i="3"/>
  <c r="B17" i="3"/>
  <c r="C25" i="3"/>
  <c r="C24" i="3"/>
  <c r="B26" i="3"/>
  <c r="C26" i="3" s="1"/>
  <c r="B23" i="3"/>
  <c r="B20" i="3"/>
  <c r="B18" i="3"/>
  <c r="C18" i="3" s="1"/>
  <c r="U8" i="3"/>
  <c r="U9" i="3"/>
  <c r="C16" i="3"/>
  <c r="C6" i="3"/>
  <c r="U4" i="3"/>
  <c r="U3" i="3"/>
  <c r="C20" i="3"/>
  <c r="C27" i="3"/>
  <c r="U6" i="3"/>
  <c r="U7" i="3"/>
  <c r="C15" i="3"/>
  <c r="C10" i="3"/>
  <c r="C14" i="3"/>
  <c r="C12" i="3"/>
  <c r="C9" i="3"/>
  <c r="C13" i="3"/>
  <c r="C11" i="3"/>
  <c r="C7" i="3"/>
  <c r="C8" i="3"/>
  <c r="U2" i="3"/>
  <c r="U1" i="3"/>
  <c r="C21" i="3"/>
  <c r="H29" i="3"/>
  <c r="O5" i="4"/>
  <c r="O4" i="4"/>
  <c r="O3" i="4"/>
  <c r="O2" i="4"/>
  <c r="P2" i="4" s="1"/>
  <c r="P10" i="4"/>
  <c r="P11" i="4"/>
  <c r="P12" i="4"/>
  <c r="P13" i="4"/>
  <c r="P20" i="4"/>
  <c r="P21" i="4"/>
  <c r="P22" i="4"/>
  <c r="P23" i="4"/>
  <c r="P24" i="4"/>
  <c r="P25" i="4"/>
  <c r="C2" i="4"/>
  <c r="C3" i="4"/>
  <c r="C4" i="4"/>
  <c r="C5" i="4"/>
  <c r="D5" i="4" s="1"/>
  <c r="E5" i="4" s="1"/>
  <c r="C6" i="4"/>
  <c r="D6" i="4" s="1"/>
  <c r="E6" i="4" s="1"/>
  <c r="C7" i="4"/>
  <c r="D7" i="4" s="1"/>
  <c r="E7" i="4" s="1"/>
  <c r="C8" i="4"/>
  <c r="D8" i="4" s="1"/>
  <c r="E8" i="4" s="1"/>
  <c r="C9" i="4"/>
  <c r="D9" i="4" s="1"/>
  <c r="E9" i="4" s="1"/>
  <c r="C10" i="4"/>
  <c r="D10" i="4" s="1"/>
  <c r="E10" i="4" s="1"/>
  <c r="C11" i="4"/>
  <c r="D11" i="4" s="1"/>
  <c r="E11" i="4" s="1"/>
  <c r="C12" i="4"/>
  <c r="D12" i="4" s="1"/>
  <c r="E12" i="4" s="1"/>
  <c r="C13" i="4"/>
  <c r="D13" i="4" s="1"/>
  <c r="E13" i="4" s="1"/>
  <c r="C14" i="4"/>
  <c r="C15" i="4"/>
  <c r="D15" i="4" s="1"/>
  <c r="E15" i="4" s="1"/>
  <c r="C16" i="4"/>
  <c r="D16" i="4" s="1"/>
  <c r="E16" i="4" s="1"/>
  <c r="C17" i="4"/>
  <c r="D17" i="4" s="1"/>
  <c r="E17" i="4" s="1"/>
  <c r="C18" i="4"/>
  <c r="D18" i="4" s="1"/>
  <c r="E18" i="4" s="1"/>
  <c r="C19" i="4"/>
  <c r="D19" i="4" s="1"/>
  <c r="E19" i="4" s="1"/>
  <c r="C20" i="4"/>
  <c r="D20" i="4" s="1"/>
  <c r="E20" i="4" s="1"/>
  <c r="C21" i="4"/>
  <c r="D21" i="4" s="1"/>
  <c r="E21" i="4" s="1"/>
  <c r="C22" i="4"/>
  <c r="D22" i="4" s="1"/>
  <c r="E22" i="4" s="1"/>
  <c r="D4" i="4"/>
  <c r="E4" i="4" s="1"/>
  <c r="P32" i="4"/>
  <c r="P31" i="4"/>
  <c r="P30" i="4"/>
  <c r="P29" i="4"/>
  <c r="P28" i="4"/>
  <c r="P27" i="4"/>
  <c r="P26" i="4"/>
  <c r="P19" i="4"/>
  <c r="P18" i="4"/>
  <c r="P17" i="4"/>
  <c r="P16" i="4"/>
  <c r="P15" i="4"/>
  <c r="P14" i="4"/>
  <c r="D14" i="4"/>
  <c r="E14" i="4" s="1"/>
  <c r="P9" i="4"/>
  <c r="P8" i="4"/>
  <c r="P7" i="4"/>
  <c r="P6" i="4"/>
  <c r="P5" i="4"/>
  <c r="S5" i="4" s="1"/>
  <c r="H5" i="4"/>
  <c r="P4" i="4"/>
  <c r="P3" i="4"/>
  <c r="D3" i="4"/>
  <c r="E3" i="4" s="1"/>
  <c r="D2" i="4"/>
  <c r="E2" i="4" s="1"/>
  <c r="A3" i="1"/>
  <c r="N12" i="1" s="1"/>
  <c r="O12" i="1" s="1"/>
  <c r="A2" i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T8" i="4" l="1"/>
  <c r="H13" i="7"/>
  <c r="K13" i="7" s="1"/>
  <c r="W5" i="1"/>
  <c r="I10" i="7"/>
  <c r="T5" i="1"/>
  <c r="C19" i="3"/>
  <c r="C17" i="3"/>
  <c r="C23" i="3"/>
  <c r="N17" i="1"/>
  <c r="O17" i="1" s="1"/>
  <c r="F5" i="3" l="1"/>
</calcChain>
</file>

<file path=xl/sharedStrings.xml><?xml version="1.0" encoding="utf-8"?>
<sst xmlns="http://schemas.openxmlformats.org/spreadsheetml/2006/main" count="117" uniqueCount="53">
  <si>
    <t>T</t>
  </si>
  <si>
    <t>V</t>
  </si>
  <si>
    <t>ABS (V)</t>
  </si>
  <si>
    <t>LOG (V)</t>
  </si>
  <si>
    <t>ω</t>
  </si>
  <si>
    <t>R</t>
  </si>
  <si>
    <t>Γ</t>
  </si>
  <si>
    <t>L_Γ</t>
  </si>
  <si>
    <t>L_ω</t>
  </si>
  <si>
    <t>Vmax/sqrt(2)</t>
  </si>
  <si>
    <t>Vmax</t>
  </si>
  <si>
    <t>w0</t>
  </si>
  <si>
    <t>C(nF)</t>
  </si>
  <si>
    <t>L[mH]</t>
  </si>
  <si>
    <t>m</t>
  </si>
  <si>
    <t>Colonna1</t>
  </si>
  <si>
    <t>Spostamento zero</t>
  </si>
  <si>
    <t>e_T</t>
  </si>
  <si>
    <t>e_ω</t>
  </si>
  <si>
    <t>e_C</t>
  </si>
  <si>
    <t>e_L</t>
  </si>
  <si>
    <t>ε%</t>
  </si>
  <si>
    <t>PROVA 1</t>
  </si>
  <si>
    <t>Err (Δ)</t>
  </si>
  <si>
    <t>σ</t>
  </si>
  <si>
    <t>Δ</t>
  </si>
  <si>
    <t>L[mH] (vero)</t>
  </si>
  <si>
    <t>R[Ω]</t>
  </si>
  <si>
    <t>Δ[Ω]</t>
  </si>
  <si>
    <t>L _Γ [mH]</t>
  </si>
  <si>
    <t>PROVA 2</t>
  </si>
  <si>
    <t>Δ[nF]</t>
  </si>
  <si>
    <t>Δ[s]</t>
  </si>
  <si>
    <t>T[s]</t>
  </si>
  <si>
    <t>Δ[rad/s]</t>
  </si>
  <si>
    <t>punti interessanti</t>
  </si>
  <si>
    <t>eq par</t>
  </si>
  <si>
    <t xml:space="preserve"> y = - 0.00000058x^2 + 0.04075137x + 55.1579</t>
  </si>
  <si>
    <t>a</t>
  </si>
  <si>
    <t>b</t>
  </si>
  <si>
    <t>c</t>
  </si>
  <si>
    <t>y'= -0.00000116x + 0.04075137</t>
  </si>
  <si>
    <t>V_max</t>
  </si>
  <si>
    <t>w_max</t>
  </si>
  <si>
    <t>eq1</t>
  </si>
  <si>
    <t>y=-12.70624x+68766.17589</t>
  </si>
  <si>
    <t>I punti di intersezione sono:</t>
  </si>
  <si>
    <t>Punto 1: X=15399.0779, Y=545.1551</t>
  </si>
  <si>
    <t>Punto 2: X=54861.9049, Y=545.1551</t>
  </si>
  <si>
    <t xml:space="preserve">eq2 </t>
  </si>
  <si>
    <t>y=64.93040 x+14284.68857</t>
  </si>
  <si>
    <t>Intersezione line1 con line: 49671.7588475 545</t>
  </si>
  <si>
    <t>Intersezione line2 con line: 61889.55824575 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</si>
</sst>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11" fontId="0" fillId="0" borderId="0" xfId="0" applyNumberFormat="1"/>
    <xf numFmtId="0" fontId="0" fillId="0" borderId="2" xfId="0" applyBorder="1"/>
    <xf numFmtId="10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10" fontId="0" fillId="2" borderId="1" xfId="0" applyNumberFormat="1" applyFill="1" applyBorder="1"/>
    <xf numFmtId="10" fontId="0" fillId="4" borderId="1" xfId="0" applyNumberFormat="1" applyFill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5" borderId="3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0" xfId="0" applyNumberFormat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esponenziale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'L2'!$D$1</c:f>
              <c:strCache>
                <c:ptCount val="1"/>
                <c:pt idx="0">
                  <c:v>ABS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'L2'!$A$2:$A$31</c:f>
              <c:numCache>
                <c:formatCode>General</c:formatCode>
                <c:ptCount val="30"/>
                <c:pt idx="0">
                  <c:v>8.8199999999999997E-4</c:v>
                </c:pt>
                <c:pt idx="1">
                  <c:v>8.5800000000000004E-4</c:v>
                </c:pt>
                <c:pt idx="2">
                  <c:v>8.34E-4</c:v>
                </c:pt>
                <c:pt idx="3">
                  <c:v>8.12E-4</c:v>
                </c:pt>
                <c:pt idx="4">
                  <c:v>7.8799999999999996E-4</c:v>
                </c:pt>
                <c:pt idx="5">
                  <c:v>7.6599999999999997E-4</c:v>
                </c:pt>
                <c:pt idx="6">
                  <c:v>7.4200000000000004E-4</c:v>
                </c:pt>
                <c:pt idx="7">
                  <c:v>7.1599999999999995E-4</c:v>
                </c:pt>
                <c:pt idx="8">
                  <c:v>6.96E-4</c:v>
                </c:pt>
                <c:pt idx="9">
                  <c:v>6.7199999999999996E-4</c:v>
                </c:pt>
                <c:pt idx="10">
                  <c:v>6.4800000000000003E-4</c:v>
                </c:pt>
                <c:pt idx="11">
                  <c:v>6.2600000000000004E-4</c:v>
                </c:pt>
                <c:pt idx="12">
                  <c:v>6.0400000000000004E-4</c:v>
                </c:pt>
                <c:pt idx="13">
                  <c:v>5.7799999999999995E-4</c:v>
                </c:pt>
                <c:pt idx="14">
                  <c:v>5.5599999999999996E-4</c:v>
                </c:pt>
                <c:pt idx="15">
                  <c:v>5.2800000000000004E-4</c:v>
                </c:pt>
                <c:pt idx="16">
                  <c:v>5.0600000000000005E-4</c:v>
                </c:pt>
                <c:pt idx="17">
                  <c:v>4.84E-4</c:v>
                </c:pt>
                <c:pt idx="18">
                  <c:v>4.5800000000000002E-4</c:v>
                </c:pt>
                <c:pt idx="19">
                  <c:v>4.3600000000000003E-4</c:v>
                </c:pt>
                <c:pt idx="20">
                  <c:v>4.1199999999999999E-4</c:v>
                </c:pt>
              </c:numCache>
            </c:numRef>
          </c:xVal>
          <c:yVal>
            <c:numRef>
              <c:f>'L2'!$D$2:$D$31</c:f>
              <c:numCache>
                <c:formatCode>General</c:formatCode>
                <c:ptCount val="30"/>
                <c:pt idx="0">
                  <c:v>202</c:v>
                </c:pt>
                <c:pt idx="1">
                  <c:v>154</c:v>
                </c:pt>
                <c:pt idx="2">
                  <c:v>122</c:v>
                </c:pt>
                <c:pt idx="3">
                  <c:v>106</c:v>
                </c:pt>
                <c:pt idx="4">
                  <c:v>92</c:v>
                </c:pt>
                <c:pt idx="5">
                  <c:v>68</c:v>
                </c:pt>
                <c:pt idx="6">
                  <c:v>56</c:v>
                </c:pt>
                <c:pt idx="7">
                  <c:v>50</c:v>
                </c:pt>
                <c:pt idx="8">
                  <c:v>40</c:v>
                </c:pt>
                <c:pt idx="9">
                  <c:v>28</c:v>
                </c:pt>
                <c:pt idx="10">
                  <c:v>26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10</c:v>
                </c:pt>
                <c:pt idx="15">
                  <c:v>12</c:v>
                </c:pt>
                <c:pt idx="16">
                  <c:v>8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4-4A71-B71F-3490FF759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70463"/>
        <c:axId val="585668543"/>
      </c:scatterChart>
      <c:valAx>
        <c:axId val="58567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68543"/>
        <c:crosses val="autoZero"/>
        <c:crossBetween val="midCat"/>
      </c:valAx>
      <c:valAx>
        <c:axId val="5856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7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Sinusoide</a:t>
            </a:r>
            <a:r>
              <a:rPr lang="en-GB" baseline="0"/>
              <a:t> smorzata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'L2'!$C$1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'L2'!$A$2:$A$24</c:f>
              <c:numCache>
                <c:formatCode>General</c:formatCode>
                <c:ptCount val="23"/>
                <c:pt idx="0">
                  <c:v>8.8199999999999997E-4</c:v>
                </c:pt>
                <c:pt idx="1">
                  <c:v>8.5800000000000004E-4</c:v>
                </c:pt>
                <c:pt idx="2">
                  <c:v>8.34E-4</c:v>
                </c:pt>
                <c:pt idx="3">
                  <c:v>8.12E-4</c:v>
                </c:pt>
                <c:pt idx="4">
                  <c:v>7.8799999999999996E-4</c:v>
                </c:pt>
                <c:pt idx="5">
                  <c:v>7.6599999999999997E-4</c:v>
                </c:pt>
                <c:pt idx="6">
                  <c:v>7.4200000000000004E-4</c:v>
                </c:pt>
                <c:pt idx="7">
                  <c:v>7.1599999999999995E-4</c:v>
                </c:pt>
                <c:pt idx="8">
                  <c:v>6.96E-4</c:v>
                </c:pt>
                <c:pt idx="9">
                  <c:v>6.7199999999999996E-4</c:v>
                </c:pt>
                <c:pt idx="10">
                  <c:v>6.4800000000000003E-4</c:v>
                </c:pt>
                <c:pt idx="11">
                  <c:v>6.2600000000000004E-4</c:v>
                </c:pt>
                <c:pt idx="12">
                  <c:v>6.0400000000000004E-4</c:v>
                </c:pt>
                <c:pt idx="13">
                  <c:v>5.7799999999999995E-4</c:v>
                </c:pt>
                <c:pt idx="14">
                  <c:v>5.5599999999999996E-4</c:v>
                </c:pt>
                <c:pt idx="15">
                  <c:v>5.2800000000000004E-4</c:v>
                </c:pt>
                <c:pt idx="16">
                  <c:v>5.0600000000000005E-4</c:v>
                </c:pt>
                <c:pt idx="17">
                  <c:v>4.84E-4</c:v>
                </c:pt>
                <c:pt idx="18">
                  <c:v>4.5800000000000002E-4</c:v>
                </c:pt>
                <c:pt idx="19">
                  <c:v>4.3600000000000003E-4</c:v>
                </c:pt>
                <c:pt idx="20">
                  <c:v>4.1199999999999999E-4</c:v>
                </c:pt>
              </c:numCache>
            </c:numRef>
          </c:xVal>
          <c:yVal>
            <c:numRef>
              <c:f>'L2'!$C$2:$C$22</c:f>
              <c:numCache>
                <c:formatCode>General</c:formatCode>
                <c:ptCount val="21"/>
                <c:pt idx="0">
                  <c:v>-202</c:v>
                </c:pt>
                <c:pt idx="1">
                  <c:v>154</c:v>
                </c:pt>
                <c:pt idx="2">
                  <c:v>-122</c:v>
                </c:pt>
                <c:pt idx="3">
                  <c:v>106</c:v>
                </c:pt>
                <c:pt idx="4">
                  <c:v>-92</c:v>
                </c:pt>
                <c:pt idx="5">
                  <c:v>68</c:v>
                </c:pt>
                <c:pt idx="6">
                  <c:v>-56</c:v>
                </c:pt>
                <c:pt idx="7">
                  <c:v>50</c:v>
                </c:pt>
                <c:pt idx="8">
                  <c:v>-40</c:v>
                </c:pt>
                <c:pt idx="9">
                  <c:v>28</c:v>
                </c:pt>
                <c:pt idx="10">
                  <c:v>-26</c:v>
                </c:pt>
                <c:pt idx="11">
                  <c:v>24</c:v>
                </c:pt>
                <c:pt idx="12">
                  <c:v>-18</c:v>
                </c:pt>
                <c:pt idx="13">
                  <c:v>14</c:v>
                </c:pt>
                <c:pt idx="14">
                  <c:v>-10</c:v>
                </c:pt>
                <c:pt idx="15">
                  <c:v>12</c:v>
                </c:pt>
                <c:pt idx="16">
                  <c:v>-8</c:v>
                </c:pt>
                <c:pt idx="17">
                  <c:v>6</c:v>
                </c:pt>
                <c:pt idx="18">
                  <c:v>-8</c:v>
                </c:pt>
                <c:pt idx="19">
                  <c:v>6</c:v>
                </c:pt>
                <c:pt idx="20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F-4709-BB07-1113D701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806175"/>
        <c:axId val="2033804735"/>
      </c:scatterChart>
      <c:valAx>
        <c:axId val="20338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4735"/>
        <c:crosses val="autoZero"/>
        <c:crossBetween val="midCat"/>
      </c:valAx>
      <c:valAx>
        <c:axId val="20338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Retta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'L2'!$E$1</c:f>
              <c:strCache>
                <c:ptCount val="1"/>
                <c:pt idx="0">
                  <c:v>LOG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91266404199475"/>
                  <c:y val="-0.21258347914843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'L2'!$A$2:$A$32</c:f>
              <c:numCache>
                <c:formatCode>General</c:formatCode>
                <c:ptCount val="31"/>
                <c:pt idx="0">
                  <c:v>8.8199999999999997E-4</c:v>
                </c:pt>
                <c:pt idx="1">
                  <c:v>8.5800000000000004E-4</c:v>
                </c:pt>
                <c:pt idx="2">
                  <c:v>8.34E-4</c:v>
                </c:pt>
                <c:pt idx="3">
                  <c:v>8.12E-4</c:v>
                </c:pt>
                <c:pt idx="4">
                  <c:v>7.8799999999999996E-4</c:v>
                </c:pt>
                <c:pt idx="5">
                  <c:v>7.6599999999999997E-4</c:v>
                </c:pt>
                <c:pt idx="6">
                  <c:v>7.4200000000000004E-4</c:v>
                </c:pt>
                <c:pt idx="7">
                  <c:v>7.1599999999999995E-4</c:v>
                </c:pt>
                <c:pt idx="8">
                  <c:v>6.96E-4</c:v>
                </c:pt>
                <c:pt idx="9">
                  <c:v>6.7199999999999996E-4</c:v>
                </c:pt>
                <c:pt idx="10">
                  <c:v>6.4800000000000003E-4</c:v>
                </c:pt>
                <c:pt idx="11">
                  <c:v>6.2600000000000004E-4</c:v>
                </c:pt>
                <c:pt idx="12">
                  <c:v>6.0400000000000004E-4</c:v>
                </c:pt>
                <c:pt idx="13">
                  <c:v>5.7799999999999995E-4</c:v>
                </c:pt>
                <c:pt idx="14">
                  <c:v>5.5599999999999996E-4</c:v>
                </c:pt>
                <c:pt idx="15">
                  <c:v>5.2800000000000004E-4</c:v>
                </c:pt>
                <c:pt idx="16">
                  <c:v>5.0600000000000005E-4</c:v>
                </c:pt>
                <c:pt idx="17">
                  <c:v>4.84E-4</c:v>
                </c:pt>
                <c:pt idx="18">
                  <c:v>4.5800000000000002E-4</c:v>
                </c:pt>
                <c:pt idx="19">
                  <c:v>4.3600000000000003E-4</c:v>
                </c:pt>
                <c:pt idx="20">
                  <c:v>4.1199999999999999E-4</c:v>
                </c:pt>
              </c:numCache>
            </c:numRef>
          </c:xVal>
          <c:yVal>
            <c:numRef>
              <c:f>'L2'!$E$2:$E$32</c:f>
              <c:numCache>
                <c:formatCode>General</c:formatCode>
                <c:ptCount val="31"/>
                <c:pt idx="0">
                  <c:v>2.3053513694466239</c:v>
                </c:pt>
                <c:pt idx="1">
                  <c:v>2.1875207208364631</c:v>
                </c:pt>
                <c:pt idx="2">
                  <c:v>2.0863598306747484</c:v>
                </c:pt>
                <c:pt idx="3">
                  <c:v>2.0253058652647704</c:v>
                </c:pt>
                <c:pt idx="4">
                  <c:v>1.9637878273455553</c:v>
                </c:pt>
                <c:pt idx="5">
                  <c:v>1.8325089127062364</c:v>
                </c:pt>
                <c:pt idx="6">
                  <c:v>1.7481880270062005</c:v>
                </c:pt>
                <c:pt idx="7">
                  <c:v>1.6989700043360187</c:v>
                </c:pt>
                <c:pt idx="8">
                  <c:v>1.6020599913279623</c:v>
                </c:pt>
                <c:pt idx="9">
                  <c:v>1.4471580313422192</c:v>
                </c:pt>
                <c:pt idx="10">
                  <c:v>1.414973347970818</c:v>
                </c:pt>
                <c:pt idx="11">
                  <c:v>1.3802112417116059</c:v>
                </c:pt>
                <c:pt idx="12">
                  <c:v>1.255272505103306</c:v>
                </c:pt>
                <c:pt idx="13">
                  <c:v>1.146128035678238</c:v>
                </c:pt>
                <c:pt idx="14">
                  <c:v>1</c:v>
                </c:pt>
                <c:pt idx="15">
                  <c:v>1.0791812460476249</c:v>
                </c:pt>
                <c:pt idx="16">
                  <c:v>0.90308998699194354</c:v>
                </c:pt>
                <c:pt idx="17">
                  <c:v>0.77815125038364363</c:v>
                </c:pt>
                <c:pt idx="18">
                  <c:v>0.90308998699194354</c:v>
                </c:pt>
                <c:pt idx="19">
                  <c:v>0.77815125038364363</c:v>
                </c:pt>
                <c:pt idx="20">
                  <c:v>0.6020599913279624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97-4104-B307-CB838C9E7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030783"/>
        <c:axId val="2091022143"/>
      </c:scatterChart>
      <c:valAx>
        <c:axId val="209103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22143"/>
        <c:crosses val="autoZero"/>
        <c:crossBetween val="midCat"/>
      </c:valAx>
      <c:valAx>
        <c:axId val="20910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3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Risonanza!$C$2:$C$43</c:f>
              <c:numCache>
                <c:formatCode>General</c:formatCode>
                <c:ptCount val="42"/>
                <c:pt idx="4">
                  <c:v>44879.895051282765</c:v>
                </c:pt>
                <c:pt idx="5">
                  <c:v>48332.194670612203</c:v>
                </c:pt>
                <c:pt idx="6">
                  <c:v>48332.194670612203</c:v>
                </c:pt>
                <c:pt idx="7">
                  <c:v>49087.385212340523</c:v>
                </c:pt>
                <c:pt idx="8">
                  <c:v>49866.550056980843</c:v>
                </c:pt>
                <c:pt idx="9">
                  <c:v>49866.550056980843</c:v>
                </c:pt>
                <c:pt idx="10">
                  <c:v>51501.518911308085</c:v>
                </c:pt>
                <c:pt idx="11">
                  <c:v>51501.518911308085</c:v>
                </c:pt>
                <c:pt idx="12">
                  <c:v>53247.333111691412</c:v>
                </c:pt>
                <c:pt idx="13">
                  <c:v>54165.390579134364</c:v>
                </c:pt>
                <c:pt idx="14">
                  <c:v>55115.66058929461</c:v>
                </c:pt>
                <c:pt idx="15">
                  <c:v>55603.409798049441</c:v>
                </c:pt>
                <c:pt idx="16">
                  <c:v>57119.866428905327</c:v>
                </c:pt>
                <c:pt idx="17">
                  <c:v>59275.333086599872</c:v>
                </c:pt>
                <c:pt idx="18">
                  <c:v>59275.333086599872</c:v>
                </c:pt>
                <c:pt idx="19">
                  <c:v>61599.85595274104</c:v>
                </c:pt>
                <c:pt idx="21">
                  <c:v>62209.755516629564</c:v>
                </c:pt>
                <c:pt idx="22">
                  <c:v>62209.755516629564</c:v>
                </c:pt>
                <c:pt idx="23">
                  <c:v>62831.853071795857</c:v>
                </c:pt>
                <c:pt idx="24">
                  <c:v>64114.135787546802</c:v>
                </c:pt>
                <c:pt idx="25">
                  <c:v>66842.396884889225</c:v>
                </c:pt>
              </c:numCache>
            </c:numRef>
          </c:xVal>
          <c:yVal>
            <c:numRef>
              <c:f>Risonanza!$A$2:$A$43</c:f>
              <c:numCache>
                <c:formatCode>General</c:formatCode>
                <c:ptCount val="42"/>
                <c:pt idx="4">
                  <c:v>360</c:v>
                </c:pt>
                <c:pt idx="5">
                  <c:v>532</c:v>
                </c:pt>
                <c:pt idx="6">
                  <c:v>492</c:v>
                </c:pt>
                <c:pt idx="7">
                  <c:v>536</c:v>
                </c:pt>
                <c:pt idx="8">
                  <c:v>572</c:v>
                </c:pt>
                <c:pt idx="9">
                  <c:v>548</c:v>
                </c:pt>
                <c:pt idx="10">
                  <c:v>624</c:v>
                </c:pt>
                <c:pt idx="11">
                  <c:v>608</c:v>
                </c:pt>
                <c:pt idx="12">
                  <c:v>696</c:v>
                </c:pt>
                <c:pt idx="13">
                  <c:v>716</c:v>
                </c:pt>
                <c:pt idx="14">
                  <c:v>756</c:v>
                </c:pt>
                <c:pt idx="15">
                  <c:v>772</c:v>
                </c:pt>
                <c:pt idx="16">
                  <c:v>752</c:v>
                </c:pt>
                <c:pt idx="17">
                  <c:v>680</c:v>
                </c:pt>
                <c:pt idx="18">
                  <c:v>612</c:v>
                </c:pt>
                <c:pt idx="19">
                  <c:v>564</c:v>
                </c:pt>
                <c:pt idx="21">
                  <c:v>516</c:v>
                </c:pt>
                <c:pt idx="22">
                  <c:v>524</c:v>
                </c:pt>
                <c:pt idx="23">
                  <c:v>488</c:v>
                </c:pt>
                <c:pt idx="24">
                  <c:v>436</c:v>
                </c:pt>
                <c:pt idx="25">
                  <c:v>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B9-46F8-832D-A7C73D597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53359"/>
        <c:axId val="393651919"/>
      </c:scatterChart>
      <c:valAx>
        <c:axId val="39365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3651919"/>
        <c:crosses val="autoZero"/>
        <c:crossBetween val="midCat"/>
      </c:valAx>
      <c:valAx>
        <c:axId val="3936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365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esponenziale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'L1'!$C$1</c:f>
              <c:strCache>
                <c:ptCount val="1"/>
                <c:pt idx="0">
                  <c:v>ABS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'L1'!$A$2:$A$31</c:f>
              <c:numCache>
                <c:formatCode>General</c:formatCode>
                <c:ptCount val="30"/>
                <c:pt idx="0">
                  <c:v>8.3199999999999995E-4</c:v>
                </c:pt>
                <c:pt idx="1">
                  <c:v>8.12E-4</c:v>
                </c:pt>
                <c:pt idx="2">
                  <c:v>7.9199999999999995E-4</c:v>
                </c:pt>
                <c:pt idx="3">
                  <c:v>7.6999999999999996E-4</c:v>
                </c:pt>
                <c:pt idx="4">
                  <c:v>7.4600000000000003E-4</c:v>
                </c:pt>
                <c:pt idx="5">
                  <c:v>7.2599999999999997E-4</c:v>
                </c:pt>
                <c:pt idx="6">
                  <c:v>7.0799999999999997E-4</c:v>
                </c:pt>
                <c:pt idx="7">
                  <c:v>6.8599999999999998E-4</c:v>
                </c:pt>
                <c:pt idx="8">
                  <c:v>6.6399999999999999E-4</c:v>
                </c:pt>
                <c:pt idx="9">
                  <c:v>6.4199999999999999E-4</c:v>
                </c:pt>
                <c:pt idx="10">
                  <c:v>6.2399999999999999E-4</c:v>
                </c:pt>
                <c:pt idx="11">
                  <c:v>6.0400000000000004E-4</c:v>
                </c:pt>
                <c:pt idx="12">
                  <c:v>5.8200000000000005E-4</c:v>
                </c:pt>
                <c:pt idx="13">
                  <c:v>5.62E-4</c:v>
                </c:pt>
                <c:pt idx="14">
                  <c:v>5.3799999999999996E-4</c:v>
                </c:pt>
                <c:pt idx="15">
                  <c:v>5.1599999999999997E-4</c:v>
                </c:pt>
                <c:pt idx="16">
                  <c:v>4.9799999999999996E-4</c:v>
                </c:pt>
                <c:pt idx="17">
                  <c:v>4.7600000000000002E-4</c:v>
                </c:pt>
                <c:pt idx="18">
                  <c:v>4.5600000000000003E-4</c:v>
                </c:pt>
                <c:pt idx="19">
                  <c:v>4.4000000000000002E-4</c:v>
                </c:pt>
                <c:pt idx="20">
                  <c:v>4.1599999999999997E-4</c:v>
                </c:pt>
                <c:pt idx="21">
                  <c:v>3.8999999999999999E-4</c:v>
                </c:pt>
                <c:pt idx="22">
                  <c:v>3.7199999999999999E-4</c:v>
                </c:pt>
              </c:numCache>
            </c:numRef>
          </c:xVal>
          <c:yVal>
            <c:numRef>
              <c:f>'L1'!$C$2:$C$31</c:f>
              <c:numCache>
                <c:formatCode>General</c:formatCode>
                <c:ptCount val="30"/>
                <c:pt idx="0">
                  <c:v>35.6</c:v>
                </c:pt>
                <c:pt idx="1">
                  <c:v>28.8</c:v>
                </c:pt>
                <c:pt idx="2">
                  <c:v>21.6</c:v>
                </c:pt>
                <c:pt idx="3">
                  <c:v>19.600000000000001</c:v>
                </c:pt>
                <c:pt idx="4">
                  <c:v>18</c:v>
                </c:pt>
                <c:pt idx="5">
                  <c:v>16.8</c:v>
                </c:pt>
                <c:pt idx="6">
                  <c:v>14.4</c:v>
                </c:pt>
                <c:pt idx="7">
                  <c:v>10.4</c:v>
                </c:pt>
                <c:pt idx="8">
                  <c:v>8.8000000000000007</c:v>
                </c:pt>
                <c:pt idx="9">
                  <c:v>8.4</c:v>
                </c:pt>
                <c:pt idx="10">
                  <c:v>7.6</c:v>
                </c:pt>
                <c:pt idx="11">
                  <c:v>6.8</c:v>
                </c:pt>
                <c:pt idx="12">
                  <c:v>5.2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3.2</c:v>
                </c:pt>
                <c:pt idx="17">
                  <c:v>2.8</c:v>
                </c:pt>
                <c:pt idx="18">
                  <c:v>2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1-42C1-A581-4AA3DD796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70463"/>
        <c:axId val="585668543"/>
      </c:scatterChart>
      <c:valAx>
        <c:axId val="58567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68543"/>
        <c:crosses val="autoZero"/>
        <c:crossBetween val="midCat"/>
      </c:valAx>
      <c:valAx>
        <c:axId val="5856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7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Sinusoide</a:t>
            </a:r>
            <a:r>
              <a:rPr lang="en-GB" baseline="0"/>
              <a:t> smorzata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'L1'!$B$1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'L1'!$A$2:$A$32</c:f>
              <c:numCache>
                <c:formatCode>General</c:formatCode>
                <c:ptCount val="31"/>
                <c:pt idx="0">
                  <c:v>8.3199999999999995E-4</c:v>
                </c:pt>
                <c:pt idx="1">
                  <c:v>8.12E-4</c:v>
                </c:pt>
                <c:pt idx="2">
                  <c:v>7.9199999999999995E-4</c:v>
                </c:pt>
                <c:pt idx="3">
                  <c:v>7.6999999999999996E-4</c:v>
                </c:pt>
                <c:pt idx="4">
                  <c:v>7.4600000000000003E-4</c:v>
                </c:pt>
                <c:pt idx="5">
                  <c:v>7.2599999999999997E-4</c:v>
                </c:pt>
                <c:pt idx="6">
                  <c:v>7.0799999999999997E-4</c:v>
                </c:pt>
                <c:pt idx="7">
                  <c:v>6.8599999999999998E-4</c:v>
                </c:pt>
                <c:pt idx="8">
                  <c:v>6.6399999999999999E-4</c:v>
                </c:pt>
                <c:pt idx="9">
                  <c:v>6.4199999999999999E-4</c:v>
                </c:pt>
                <c:pt idx="10">
                  <c:v>6.2399999999999999E-4</c:v>
                </c:pt>
                <c:pt idx="11">
                  <c:v>6.0400000000000004E-4</c:v>
                </c:pt>
                <c:pt idx="12">
                  <c:v>5.8200000000000005E-4</c:v>
                </c:pt>
                <c:pt idx="13">
                  <c:v>5.62E-4</c:v>
                </c:pt>
                <c:pt idx="14">
                  <c:v>5.3799999999999996E-4</c:v>
                </c:pt>
                <c:pt idx="15">
                  <c:v>5.1599999999999997E-4</c:v>
                </c:pt>
                <c:pt idx="16">
                  <c:v>4.9799999999999996E-4</c:v>
                </c:pt>
                <c:pt idx="17">
                  <c:v>4.7600000000000002E-4</c:v>
                </c:pt>
                <c:pt idx="18">
                  <c:v>4.5600000000000003E-4</c:v>
                </c:pt>
                <c:pt idx="19">
                  <c:v>4.4000000000000002E-4</c:v>
                </c:pt>
                <c:pt idx="20">
                  <c:v>4.1599999999999997E-4</c:v>
                </c:pt>
                <c:pt idx="21">
                  <c:v>3.8999999999999999E-4</c:v>
                </c:pt>
                <c:pt idx="22">
                  <c:v>3.7199999999999999E-4</c:v>
                </c:pt>
              </c:numCache>
            </c:numRef>
          </c:xVal>
          <c:yVal>
            <c:numRef>
              <c:f>'L1'!$B$2:$B$32</c:f>
              <c:numCache>
                <c:formatCode>General</c:formatCode>
                <c:ptCount val="31"/>
                <c:pt idx="0">
                  <c:v>-35.6</c:v>
                </c:pt>
                <c:pt idx="1">
                  <c:v>28.8</c:v>
                </c:pt>
                <c:pt idx="2">
                  <c:v>-21.6</c:v>
                </c:pt>
                <c:pt idx="3">
                  <c:v>19.600000000000001</c:v>
                </c:pt>
                <c:pt idx="4">
                  <c:v>-18</c:v>
                </c:pt>
                <c:pt idx="5">
                  <c:v>16.8</c:v>
                </c:pt>
                <c:pt idx="6">
                  <c:v>-14.4</c:v>
                </c:pt>
                <c:pt idx="7">
                  <c:v>10.4</c:v>
                </c:pt>
                <c:pt idx="8">
                  <c:v>-8.8000000000000007</c:v>
                </c:pt>
                <c:pt idx="9">
                  <c:v>8.4</c:v>
                </c:pt>
                <c:pt idx="10">
                  <c:v>-7.6</c:v>
                </c:pt>
                <c:pt idx="11">
                  <c:v>6.8</c:v>
                </c:pt>
                <c:pt idx="12">
                  <c:v>-5.2</c:v>
                </c:pt>
                <c:pt idx="13">
                  <c:v>4</c:v>
                </c:pt>
                <c:pt idx="14">
                  <c:v>-4</c:v>
                </c:pt>
                <c:pt idx="15">
                  <c:v>4</c:v>
                </c:pt>
                <c:pt idx="16">
                  <c:v>-3.2</c:v>
                </c:pt>
                <c:pt idx="17">
                  <c:v>2.8</c:v>
                </c:pt>
                <c:pt idx="18">
                  <c:v>-2</c:v>
                </c:pt>
                <c:pt idx="19">
                  <c:v>1.6</c:v>
                </c:pt>
                <c:pt idx="20">
                  <c:v>-1.6</c:v>
                </c:pt>
                <c:pt idx="21">
                  <c:v>1.6</c:v>
                </c:pt>
                <c:pt idx="22">
                  <c:v>-1.6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F-4F8C-99D6-E207EFFC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806175"/>
        <c:axId val="2033804735"/>
      </c:scatterChart>
      <c:valAx>
        <c:axId val="20338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4735"/>
        <c:crosses val="autoZero"/>
        <c:crossBetween val="midCat"/>
      </c:valAx>
      <c:valAx>
        <c:axId val="20338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Retta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'L1'!$D$1</c:f>
              <c:strCache>
                <c:ptCount val="1"/>
                <c:pt idx="0">
                  <c:v>LOG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91266404199475"/>
                  <c:y val="-0.21258347914843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'L1'!$A$2:$A$32</c:f>
              <c:numCache>
                <c:formatCode>General</c:formatCode>
                <c:ptCount val="31"/>
                <c:pt idx="0">
                  <c:v>8.3199999999999995E-4</c:v>
                </c:pt>
                <c:pt idx="1">
                  <c:v>8.12E-4</c:v>
                </c:pt>
                <c:pt idx="2">
                  <c:v>7.9199999999999995E-4</c:v>
                </c:pt>
                <c:pt idx="3">
                  <c:v>7.6999999999999996E-4</c:v>
                </c:pt>
                <c:pt idx="4">
                  <c:v>7.4600000000000003E-4</c:v>
                </c:pt>
                <c:pt idx="5">
                  <c:v>7.2599999999999997E-4</c:v>
                </c:pt>
                <c:pt idx="6">
                  <c:v>7.0799999999999997E-4</c:v>
                </c:pt>
                <c:pt idx="7">
                  <c:v>6.8599999999999998E-4</c:v>
                </c:pt>
                <c:pt idx="8">
                  <c:v>6.6399999999999999E-4</c:v>
                </c:pt>
                <c:pt idx="9">
                  <c:v>6.4199999999999999E-4</c:v>
                </c:pt>
                <c:pt idx="10">
                  <c:v>6.2399999999999999E-4</c:v>
                </c:pt>
                <c:pt idx="11">
                  <c:v>6.0400000000000004E-4</c:v>
                </c:pt>
                <c:pt idx="12">
                  <c:v>5.8200000000000005E-4</c:v>
                </c:pt>
                <c:pt idx="13">
                  <c:v>5.62E-4</c:v>
                </c:pt>
                <c:pt idx="14">
                  <c:v>5.3799999999999996E-4</c:v>
                </c:pt>
                <c:pt idx="15">
                  <c:v>5.1599999999999997E-4</c:v>
                </c:pt>
                <c:pt idx="16">
                  <c:v>4.9799999999999996E-4</c:v>
                </c:pt>
                <c:pt idx="17">
                  <c:v>4.7600000000000002E-4</c:v>
                </c:pt>
                <c:pt idx="18">
                  <c:v>4.5600000000000003E-4</c:v>
                </c:pt>
                <c:pt idx="19">
                  <c:v>4.4000000000000002E-4</c:v>
                </c:pt>
                <c:pt idx="20">
                  <c:v>4.1599999999999997E-4</c:v>
                </c:pt>
                <c:pt idx="21">
                  <c:v>3.8999999999999999E-4</c:v>
                </c:pt>
                <c:pt idx="22">
                  <c:v>3.7199999999999999E-4</c:v>
                </c:pt>
              </c:numCache>
            </c:numRef>
          </c:xVal>
          <c:yVal>
            <c:numRef>
              <c:f>'L1'!$D$2:$D$32</c:f>
              <c:numCache>
                <c:formatCode>General</c:formatCode>
                <c:ptCount val="31"/>
                <c:pt idx="0">
                  <c:v>1.5514499979728751</c:v>
                </c:pt>
                <c:pt idx="1">
                  <c:v>1.4593924877592308</c:v>
                </c:pt>
                <c:pt idx="2">
                  <c:v>1.3344537511509309</c:v>
                </c:pt>
                <c:pt idx="3">
                  <c:v>1.2922560713564761</c:v>
                </c:pt>
                <c:pt idx="4">
                  <c:v>1.255272505103306</c:v>
                </c:pt>
                <c:pt idx="5">
                  <c:v>1.2253092817258628</c:v>
                </c:pt>
                <c:pt idx="6">
                  <c:v>1.1583624920952498</c:v>
                </c:pt>
                <c:pt idx="7">
                  <c:v>1.0170333392987803</c:v>
                </c:pt>
                <c:pt idx="8">
                  <c:v>0.94448267215016868</c:v>
                </c:pt>
                <c:pt idx="9">
                  <c:v>0.9242792860618817</c:v>
                </c:pt>
                <c:pt idx="10">
                  <c:v>0.88081359228079137</c:v>
                </c:pt>
                <c:pt idx="11">
                  <c:v>0.83250891270623628</c:v>
                </c:pt>
                <c:pt idx="12">
                  <c:v>0.71600334363479923</c:v>
                </c:pt>
                <c:pt idx="13">
                  <c:v>0.6020599913279624</c:v>
                </c:pt>
                <c:pt idx="14">
                  <c:v>0.6020599913279624</c:v>
                </c:pt>
                <c:pt idx="15">
                  <c:v>0.6020599913279624</c:v>
                </c:pt>
                <c:pt idx="16">
                  <c:v>0.50514997831990605</c:v>
                </c:pt>
                <c:pt idx="17">
                  <c:v>0.44715803134221921</c:v>
                </c:pt>
                <c:pt idx="18">
                  <c:v>0.3010299956639812</c:v>
                </c:pt>
                <c:pt idx="19">
                  <c:v>0.20411998265592479</c:v>
                </c:pt>
                <c:pt idx="20">
                  <c:v>0.20411998265592479</c:v>
                </c:pt>
                <c:pt idx="21">
                  <c:v>0.20411998265592479</c:v>
                </c:pt>
                <c:pt idx="22">
                  <c:v>0.20411998265592479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4-41EB-8339-CD3A5F4B6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030783"/>
        <c:axId val="2091022143"/>
      </c:scatterChart>
      <c:valAx>
        <c:axId val="209103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22143"/>
        <c:crosses val="autoZero"/>
        <c:crossBetween val="midCat"/>
      </c:valAx>
      <c:valAx>
        <c:axId val="20910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3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19</xdr:row>
      <xdr:rowOff>161365</xdr:rowOff>
    </xdr:from>
    <xdr:to>
      <xdr:col>13</xdr:col>
      <xdr:colOff>394447</xdr:colOff>
      <xdr:row>37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EE492-143A-4FDC-93AF-BA4555F97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121920</xdr:colOff>
      <xdr:row>1</xdr:row>
      <xdr:rowOff>0</xdr:rowOff>
    </xdr:from>
    <xdr:ext cx="143699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D0E021-ADE1-4AF7-967C-A3F9625DF271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l-GR" sz="1100" b="0" i="0">
                            <a:latin typeface="Cambria Math" panose="02040503050406030204" pitchFamily="18" charset="0"/>
                          </a:rPr>
                          <m:t>Γ</m:t>
                        </m:r>
                        <m:r>
                          <m:rPr>
                            <m:lit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 ∗ 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D0E021-ADE1-4AF7-967C-A3F9625DF271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𝑉(𝑡)=𝑒𝑥𝑝((−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  ∗ t)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6</xdr:col>
      <xdr:colOff>220980</xdr:colOff>
      <xdr:row>1</xdr:row>
      <xdr:rowOff>171450</xdr:rowOff>
    </xdr:from>
    <xdr:ext cx="11214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7209CD-61E5-428F-87E9-11EED2E14D37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𝑙𝑜𝑔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=(−</m:t>
                    </m:r>
                    <m:r>
                      <m:rPr>
                        <m:sty m:val="p"/>
                      </m:rPr>
                      <a:rPr lang="el-GR" sz="1100" b="0" i="0">
                        <a:latin typeface="Cambria Math" panose="02040503050406030204" pitchFamily="18" charset="0"/>
                      </a:rPr>
                      <m:t>Γ</m:t>
                    </m:r>
                    <m:r>
                      <m:rPr>
                        <m:lit/>
                      </m:rPr>
                      <a:rPr lang="en-GB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7209CD-61E5-428F-87E9-11EED2E14D37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𝑙𝑜𝑔(𝑉)=(−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\/2)t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16</xdr:col>
      <xdr:colOff>198120</xdr:colOff>
      <xdr:row>0</xdr:row>
      <xdr:rowOff>41910</xdr:rowOff>
    </xdr:from>
    <xdr:ext cx="453329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89AEB3-F030-4242-A319-A287C21F6035}"/>
            </a:ext>
          </a:extLst>
        </xdr:cNvPr>
        <xdr:cNvSpPr txBox="1"/>
      </xdr:nvSpPr>
      <xdr:spPr>
        <a:xfrm>
          <a:off x="9738360" y="41910"/>
          <a:ext cx="45332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l-GR" sz="1100"/>
            <a:t>ω</a:t>
          </a:r>
          <a:r>
            <a:rPr lang="en-GB" sz="1100"/>
            <a:t>=</a:t>
          </a:r>
          <a:r>
            <a:rPr lang="en-GB" sz="1100" baseline="0"/>
            <a:t> 2</a:t>
          </a:r>
          <a:r>
            <a:rPr lang="el-GR" sz="1100" baseline="0"/>
            <a:t>π</a:t>
          </a:r>
          <a:r>
            <a:rPr lang="en-GB" sz="1100" baseline="0"/>
            <a:t>/T</a:t>
          </a:r>
        </a:p>
      </xdr:txBody>
    </xdr:sp>
    <xdr:clientData/>
  </xdr:oneCellAnchor>
  <xdr:oneCellAnchor>
    <xdr:from>
      <xdr:col>17</xdr:col>
      <xdr:colOff>137160</xdr:colOff>
      <xdr:row>1</xdr:row>
      <xdr:rowOff>11430</xdr:rowOff>
    </xdr:from>
    <xdr:ext cx="63068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409265-AC43-4A42-9372-8D34B3634C62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L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w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^2</m:t>
                        </m:r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C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409265-AC43-4A42-9372-8D34B3634C62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L=1/(w^2C)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5</xdr:col>
      <xdr:colOff>94128</xdr:colOff>
      <xdr:row>5</xdr:row>
      <xdr:rowOff>170329</xdr:rowOff>
    </xdr:from>
    <xdr:to>
      <xdr:col>13</xdr:col>
      <xdr:colOff>385482</xdr:colOff>
      <xdr:row>19</xdr:row>
      <xdr:rowOff>125506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D40DB1-181F-4168-835C-DF1BB9612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434788</xdr:colOff>
      <xdr:row>8</xdr:row>
      <xdr:rowOff>107577</xdr:rowOff>
    </xdr:from>
    <xdr:to>
      <xdr:col>24</xdr:col>
      <xdr:colOff>129988</xdr:colOff>
      <xdr:row>23</xdr:row>
      <xdr:rowOff>161365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7AACE37-6FCE-4AE4-99C5-9398B19F4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322167</xdr:colOff>
      <xdr:row>6</xdr:row>
      <xdr:rowOff>86212</xdr:rowOff>
    </xdr:from>
    <xdr:to>
      <xdr:col>11</xdr:col>
      <xdr:colOff>17368</xdr:colOff>
      <xdr:row>21</xdr:row>
      <xdr:rowOff>86212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21F400D-37ED-2726-4E3D-4019AF4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19</xdr:row>
      <xdr:rowOff>161365</xdr:rowOff>
    </xdr:from>
    <xdr:to>
      <xdr:col>12</xdr:col>
      <xdr:colOff>394447</xdr:colOff>
      <xdr:row>37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C2691-067B-85DF-021D-1EF02FBD0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121920</xdr:colOff>
      <xdr:row>1</xdr:row>
      <xdr:rowOff>0</xdr:rowOff>
    </xdr:from>
    <xdr:ext cx="143699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E78BC7-D095-172D-6429-19FEBD5AE802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l-GR" sz="1100" b="0" i="0">
                            <a:latin typeface="Cambria Math" panose="02040503050406030204" pitchFamily="18" charset="0"/>
                          </a:rPr>
                          <m:t>Γ</m:t>
                        </m:r>
                        <m:r>
                          <m:rPr>
                            <m:lit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 ∗ 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E78BC7-D095-172D-6429-19FEBD5AE802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𝑉(𝑡)=𝑒𝑥𝑝((−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  * t)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5</xdr:col>
      <xdr:colOff>220980</xdr:colOff>
      <xdr:row>1</xdr:row>
      <xdr:rowOff>171450</xdr:rowOff>
    </xdr:from>
    <xdr:ext cx="11214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9BF1A24-B06E-01C8-E6E7-192D40C765CA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𝑙𝑜𝑔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=(−</m:t>
                    </m:r>
                    <m:r>
                      <m:rPr>
                        <m:sty m:val="p"/>
                      </m:rPr>
                      <a:rPr lang="el-GR" sz="1100" b="0" i="0">
                        <a:latin typeface="Cambria Math" panose="02040503050406030204" pitchFamily="18" charset="0"/>
                      </a:rPr>
                      <m:t>Γ</m:t>
                    </m:r>
                    <m:r>
                      <m:rPr>
                        <m:lit/>
                      </m:rPr>
                      <a:rPr lang="en-GB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9BF1A24-B06E-01C8-E6E7-192D40C765CA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𝑙𝑜𝑔(𝑉)=(−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\/2)t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15</xdr:col>
      <xdr:colOff>198120</xdr:colOff>
      <xdr:row>0</xdr:row>
      <xdr:rowOff>41910</xdr:rowOff>
    </xdr:from>
    <xdr:ext cx="453329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0A6772-1DE1-7283-9C76-8DA3E1EAF01B}"/>
            </a:ext>
          </a:extLst>
        </xdr:cNvPr>
        <xdr:cNvSpPr txBox="1"/>
      </xdr:nvSpPr>
      <xdr:spPr>
        <a:xfrm>
          <a:off x="9738360" y="41910"/>
          <a:ext cx="45332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l-GR" sz="1100"/>
            <a:t>ω</a:t>
          </a:r>
          <a:r>
            <a:rPr lang="en-GB" sz="1100"/>
            <a:t>=</a:t>
          </a:r>
          <a:r>
            <a:rPr lang="en-GB" sz="1100" baseline="0"/>
            <a:t> 2</a:t>
          </a:r>
          <a:r>
            <a:rPr lang="el-GR" sz="1100" baseline="0"/>
            <a:t>π</a:t>
          </a:r>
          <a:r>
            <a:rPr lang="en-GB" sz="1100" baseline="0"/>
            <a:t>/T</a:t>
          </a:r>
        </a:p>
      </xdr:txBody>
    </xdr:sp>
    <xdr:clientData/>
  </xdr:oneCellAnchor>
  <xdr:oneCellAnchor>
    <xdr:from>
      <xdr:col>16</xdr:col>
      <xdr:colOff>137160</xdr:colOff>
      <xdr:row>1</xdr:row>
      <xdr:rowOff>11430</xdr:rowOff>
    </xdr:from>
    <xdr:ext cx="63068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DBA22E5-6867-ABE1-D8B7-22FD54AB1266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L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w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^2</m:t>
                        </m:r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C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DBA22E5-6867-ABE1-D8B7-22FD54AB1266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L=1/(w^2C)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4</xdr:col>
      <xdr:colOff>22410</xdr:colOff>
      <xdr:row>6</xdr:row>
      <xdr:rowOff>170327</xdr:rowOff>
    </xdr:from>
    <xdr:to>
      <xdr:col>12</xdr:col>
      <xdr:colOff>313764</xdr:colOff>
      <xdr:row>20</xdr:row>
      <xdr:rowOff>125504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40C286-BC8E-7688-944B-A66BA91DD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434788</xdr:colOff>
      <xdr:row>8</xdr:row>
      <xdr:rowOff>107577</xdr:rowOff>
    </xdr:from>
    <xdr:to>
      <xdr:col>23</xdr:col>
      <xdr:colOff>129988</xdr:colOff>
      <xdr:row>23</xdr:row>
      <xdr:rowOff>161365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2D3119B-B74F-95A0-380D-42B48D66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D495A-CB62-4604-82FD-8768C2BD6AE6}" name="Table15" displayName="Table15" ref="A1:E31" totalsRowShown="0">
  <autoFilter ref="A1:E31" xr:uid="{3AA7EE3E-C3C2-4BAA-8E87-7E02D8C58FFA}"/>
  <sortState xmlns:xlrd2="http://schemas.microsoft.com/office/spreadsheetml/2017/richdata2" ref="A2:E31">
    <sortCondition descending="1" ref="A1:A31"/>
  </sortState>
  <tableColumns count="5">
    <tableColumn id="1" xr3:uid="{EA83BD5F-BBA4-46EB-ABFC-F8602A0C96F2}" name="T" dataDxfId="12">
      <calculatedColumnFormula>832*10^(-6)</calculatedColumnFormula>
    </tableColumn>
    <tableColumn id="5" xr3:uid="{3E7F9B09-52C0-44AE-A957-7A9BDD683A81}" name="Colonna1"/>
    <tableColumn id="2" xr3:uid="{DB882948-7C5B-4C32-B0EF-F41107EA1C8C}" name="V" dataDxfId="11">
      <calculatedColumnFormula>Table15[[#This Row],[Colonna1]]+$K$2</calculatedColumnFormula>
    </tableColumn>
    <tableColumn id="3" xr3:uid="{1C0C5E8B-E639-4E16-81CA-91975CF5D962}" name="ABS (V)" dataDxfId="10">
      <calculatedColumnFormula>ABS(Table15[[#This Row],[V]])</calculatedColumnFormula>
    </tableColumn>
    <tableColumn id="4" xr3:uid="{88077413-69ED-4500-A960-56D0AF3141A4}" name="LOG (V)" dataDxfId="9">
      <calculatedColumnFormula>LOG(Table15[[#This Row],[ABS (V)]])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6A76A3-9120-4862-AA3D-966A1115AE59}" name="Table26" displayName="Table26" ref="O1:P32" totalsRowShown="0">
  <autoFilter ref="O1:P32" xr:uid="{C76AA7DF-FC41-448F-BF99-19C24831DA7F}"/>
  <tableColumns count="2">
    <tableColumn id="1" xr3:uid="{E9651C1A-5115-49B2-AA26-14FDCFEB7DBE}" name="T" dataDxfId="8">
      <calculatedColumnFormula>Table15[[#This Row],[T]]-A4</calculatedColumnFormula>
    </tableColumn>
    <tableColumn id="2" xr3:uid="{5D60CF60-4A3C-4858-A8C0-5A2C9B45BC15}" name="ω" dataDxfId="7">
      <calculatedColumnFormula>2*PI()/Table26[[#This Row],[T]]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08DF2C-9D4D-4917-83E5-F32958855A42}" name="Table3" displayName="Table3" ref="A1:C43" totalsRowShown="0">
  <autoFilter ref="A1:C43" xr:uid="{B208DF2C-9D4D-4917-83E5-F32958855A42}"/>
  <sortState xmlns:xlrd2="http://schemas.microsoft.com/office/spreadsheetml/2017/richdata2" ref="A2:C43">
    <sortCondition ref="C1:C43"/>
  </sortState>
  <tableColumns count="3">
    <tableColumn id="1" xr3:uid="{255D6A9A-C513-49ED-9502-D35A0809331F}" name="V"/>
    <tableColumn id="3" xr3:uid="{4E1AE0EF-9D8C-4A80-B0F1-B51594B88294}" name="T" dataDxfId="6">
      <calculatedColumnFormula>2*0.0000565</calculatedColumnFormula>
    </tableColumn>
    <tableColumn id="2" xr3:uid="{FA7A5E3C-40F3-450A-AAC7-9E4839D86104}" name="ω" dataDxfId="5">
      <calculatedColumnFormula>2*PI()/Table3[[#This Row],[T]]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7EE3E-C3C2-4BAA-8E87-7E02D8C58FFA}" name="Table1" displayName="Table1" ref="A1:D31" totalsRowShown="0">
  <autoFilter ref="A1:D31" xr:uid="{3AA7EE3E-C3C2-4BAA-8E87-7E02D8C58FFA}"/>
  <sortState xmlns:xlrd2="http://schemas.microsoft.com/office/spreadsheetml/2017/richdata2" ref="A2:D31">
    <sortCondition descending="1" ref="A1:A31"/>
  </sortState>
  <tableColumns count="4">
    <tableColumn id="1" xr3:uid="{C626C330-FD79-45A3-B8DF-6B39CDA50024}" name="T" dataDxfId="4">
      <calculatedColumnFormula>832*10^(-6)</calculatedColumnFormula>
    </tableColumn>
    <tableColumn id="2" xr3:uid="{44E3CB14-F34F-4A89-B2F9-FE4629E1E298}" name="V"/>
    <tableColumn id="3" xr3:uid="{C4BDB369-6D4F-4239-AEA0-3774AE65DBEF}" name="ABS (V)" dataDxfId="3">
      <calculatedColumnFormula>ABS(Table1[[#This Row],[V]])</calculatedColumnFormula>
    </tableColumn>
    <tableColumn id="4" xr3:uid="{BCB6F187-81AD-4D7B-B93F-C857695F1493}" name="LOG (V)" dataDxfId="2">
      <calculatedColumnFormula>LOG(Table1[[#This Row],[ABS (V)]])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6AA7DF-FC41-448F-BF99-19C24831DA7F}" name="Table2" displayName="Table2" ref="N1:O32" totalsRowShown="0">
  <autoFilter ref="N1:O32" xr:uid="{C76AA7DF-FC41-448F-BF99-19C24831DA7F}"/>
  <sortState xmlns:xlrd2="http://schemas.microsoft.com/office/spreadsheetml/2017/richdata2" ref="N2:O32">
    <sortCondition ref="O1:O32"/>
  </sortState>
  <tableColumns count="2">
    <tableColumn id="1" xr3:uid="{7E9A8B06-0CC1-48AC-9DC9-DBB0D9F82EA3}" name="T" dataDxfId="1">
      <calculatedColumnFormula>Table1[[#This Row],[T]]-A4</calculatedColumnFormula>
    </tableColumn>
    <tableColumn id="2" xr3:uid="{E69D9750-5813-4140-90A8-BE9515CD1A2C}" name="ω" dataDxfId="0">
      <calculatedColumnFormula>2*PI()/Table2[[#This Row],[T]]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90E6-1FE9-4025-8168-E3306C8C7427}">
  <dimension ref="A1:D24"/>
  <sheetViews>
    <sheetView workbookViewId="0">
      <selection activeCell="F1" sqref="F1:G2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3.7199999999999999E-4</v>
      </c>
      <c r="B2">
        <v>-35.6</v>
      </c>
      <c r="C2">
        <v>35.6</v>
      </c>
      <c r="D2">
        <v>1.5514499979728751</v>
      </c>
    </row>
    <row r="3" spans="1:4" x14ac:dyDescent="0.3">
      <c r="A3">
        <v>3.8999999999999999E-4</v>
      </c>
      <c r="B3">
        <v>28.8</v>
      </c>
      <c r="C3">
        <v>28.8</v>
      </c>
      <c r="D3">
        <v>1.4593924877592308</v>
      </c>
    </row>
    <row r="4" spans="1:4" x14ac:dyDescent="0.3">
      <c r="A4">
        <v>4.1599999999999997E-4</v>
      </c>
      <c r="B4">
        <v>-21.6</v>
      </c>
      <c r="C4">
        <v>21.6</v>
      </c>
      <c r="D4">
        <v>1.3344537511509309</v>
      </c>
    </row>
    <row r="5" spans="1:4" x14ac:dyDescent="0.3">
      <c r="A5">
        <v>4.4000000000000002E-4</v>
      </c>
      <c r="B5">
        <v>19.600000000000001</v>
      </c>
      <c r="C5">
        <v>19.600000000000001</v>
      </c>
      <c r="D5">
        <v>1.2922560713564761</v>
      </c>
    </row>
    <row r="6" spans="1:4" x14ac:dyDescent="0.3">
      <c r="A6">
        <v>4.5600000000000003E-4</v>
      </c>
      <c r="B6">
        <v>-18</v>
      </c>
      <c r="C6">
        <v>18</v>
      </c>
      <c r="D6">
        <v>1.255272505103306</v>
      </c>
    </row>
    <row r="7" spans="1:4" x14ac:dyDescent="0.3">
      <c r="A7">
        <v>4.7600000000000002E-4</v>
      </c>
      <c r="B7">
        <v>16.8</v>
      </c>
      <c r="C7">
        <v>16.8</v>
      </c>
      <c r="D7">
        <v>1.2253092817258628</v>
      </c>
    </row>
    <row r="8" spans="1:4" x14ac:dyDescent="0.3">
      <c r="A8">
        <v>4.9799999999999996E-4</v>
      </c>
      <c r="B8">
        <v>-14.4</v>
      </c>
      <c r="C8">
        <v>14.4</v>
      </c>
      <c r="D8">
        <v>1.1583624920952498</v>
      </c>
    </row>
    <row r="9" spans="1:4" x14ac:dyDescent="0.3">
      <c r="A9">
        <v>5.1599999999999997E-4</v>
      </c>
      <c r="B9">
        <v>10.4</v>
      </c>
      <c r="C9">
        <v>10.4</v>
      </c>
      <c r="D9">
        <v>1.0170333392987803</v>
      </c>
    </row>
    <row r="10" spans="1:4" x14ac:dyDescent="0.3">
      <c r="A10">
        <v>5.3799999999999996E-4</v>
      </c>
      <c r="B10">
        <v>-8.8000000000000007</v>
      </c>
      <c r="C10">
        <v>8.8000000000000007</v>
      </c>
      <c r="D10">
        <v>0.94448267215016868</v>
      </c>
    </row>
    <row r="11" spans="1:4" x14ac:dyDescent="0.3">
      <c r="A11">
        <v>5.62E-4</v>
      </c>
      <c r="B11">
        <v>8.4</v>
      </c>
      <c r="C11">
        <v>8.4</v>
      </c>
      <c r="D11">
        <v>0.9242792860618817</v>
      </c>
    </row>
    <row r="12" spans="1:4" x14ac:dyDescent="0.3">
      <c r="A12">
        <v>5.8200000000000005E-4</v>
      </c>
      <c r="B12">
        <v>-7.6</v>
      </c>
      <c r="C12">
        <v>7.6</v>
      </c>
      <c r="D12">
        <v>0.88081359228079137</v>
      </c>
    </row>
    <row r="13" spans="1:4" x14ac:dyDescent="0.3">
      <c r="A13">
        <v>6.0400000000000004E-4</v>
      </c>
      <c r="B13">
        <v>6.8</v>
      </c>
      <c r="C13">
        <v>6.8</v>
      </c>
      <c r="D13">
        <v>0.83250891270623628</v>
      </c>
    </row>
    <row r="14" spans="1:4" x14ac:dyDescent="0.3">
      <c r="A14">
        <v>6.2399999999999999E-4</v>
      </c>
      <c r="B14">
        <v>-5.2</v>
      </c>
      <c r="C14">
        <v>5.2</v>
      </c>
      <c r="D14">
        <v>0.71600334363479923</v>
      </c>
    </row>
    <row r="15" spans="1:4" x14ac:dyDescent="0.3">
      <c r="A15">
        <v>6.4199999999999999E-4</v>
      </c>
      <c r="B15">
        <v>4</v>
      </c>
      <c r="C15">
        <v>4</v>
      </c>
      <c r="D15">
        <v>0.6020599913279624</v>
      </c>
    </row>
    <row r="16" spans="1:4" x14ac:dyDescent="0.3">
      <c r="A16">
        <v>6.6399999999999999E-4</v>
      </c>
      <c r="B16">
        <v>-4</v>
      </c>
      <c r="C16">
        <v>4</v>
      </c>
      <c r="D16">
        <v>0.6020599913279624</v>
      </c>
    </row>
    <row r="17" spans="1:4" x14ac:dyDescent="0.3">
      <c r="A17">
        <v>6.8599999999999998E-4</v>
      </c>
      <c r="B17">
        <v>4</v>
      </c>
      <c r="C17">
        <v>4</v>
      </c>
      <c r="D17">
        <v>0.6020599913279624</v>
      </c>
    </row>
    <row r="18" spans="1:4" x14ac:dyDescent="0.3">
      <c r="A18">
        <v>7.0799999999999997E-4</v>
      </c>
      <c r="B18">
        <v>-3.2</v>
      </c>
      <c r="C18">
        <v>3.2</v>
      </c>
      <c r="D18">
        <v>0.50514997831990605</v>
      </c>
    </row>
    <row r="19" spans="1:4" x14ac:dyDescent="0.3">
      <c r="A19">
        <v>7.2599999999999997E-4</v>
      </c>
      <c r="B19">
        <v>2.8</v>
      </c>
      <c r="C19">
        <v>2.8</v>
      </c>
      <c r="D19">
        <v>0.44715803134221921</v>
      </c>
    </row>
    <row r="20" spans="1:4" x14ac:dyDescent="0.3">
      <c r="A20">
        <v>7.4600000000000003E-4</v>
      </c>
      <c r="B20">
        <v>-2</v>
      </c>
      <c r="C20">
        <v>2</v>
      </c>
      <c r="D20">
        <v>0.3010299956639812</v>
      </c>
    </row>
    <row r="21" spans="1:4" x14ac:dyDescent="0.3">
      <c r="A21">
        <v>7.6999999999999996E-4</v>
      </c>
      <c r="B21">
        <v>1.6</v>
      </c>
      <c r="C21">
        <v>1.6</v>
      </c>
      <c r="D21">
        <v>0.20411998265592479</v>
      </c>
    </row>
    <row r="22" spans="1:4" x14ac:dyDescent="0.3">
      <c r="A22">
        <v>7.9199999999999995E-4</v>
      </c>
      <c r="B22">
        <v>-1.6</v>
      </c>
      <c r="C22">
        <v>1.6</v>
      </c>
      <c r="D22">
        <v>0.20411998265592479</v>
      </c>
    </row>
    <row r="23" spans="1:4" x14ac:dyDescent="0.3">
      <c r="A23">
        <v>8.12E-4</v>
      </c>
      <c r="B23">
        <v>1.6</v>
      </c>
      <c r="C23">
        <v>1.6</v>
      </c>
      <c r="D23">
        <v>0.20411998265592479</v>
      </c>
    </row>
    <row r="24" spans="1:4" x14ac:dyDescent="0.3">
      <c r="A24">
        <v>8.3199999999999995E-4</v>
      </c>
      <c r="B24">
        <v>-1.6</v>
      </c>
      <c r="C24">
        <v>1.6</v>
      </c>
      <c r="D24">
        <v>0.20411998265592479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56AB-6DF2-46EE-B570-80EE1CE089FA}">
  <dimension ref="A1:D22"/>
  <sheetViews>
    <sheetView workbookViewId="0">
      <selection activeCell="E19" sqref="E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4.1199999999999999E-4</v>
      </c>
      <c r="B2">
        <v>-202</v>
      </c>
      <c r="C2">
        <v>202</v>
      </c>
      <c r="D2">
        <v>2.3053513694466239</v>
      </c>
    </row>
    <row r="3" spans="1:4" x14ac:dyDescent="0.3">
      <c r="A3">
        <v>4.3600000000000003E-4</v>
      </c>
      <c r="B3">
        <v>154</v>
      </c>
      <c r="C3">
        <v>154</v>
      </c>
      <c r="D3">
        <v>2.1875207208364631</v>
      </c>
    </row>
    <row r="4" spans="1:4" x14ac:dyDescent="0.3">
      <c r="A4">
        <v>4.5800000000000002E-4</v>
      </c>
      <c r="B4">
        <v>-122</v>
      </c>
      <c r="C4">
        <v>122</v>
      </c>
      <c r="D4">
        <v>2.0863598306747484</v>
      </c>
    </row>
    <row r="5" spans="1:4" x14ac:dyDescent="0.3">
      <c r="A5">
        <v>4.84E-4</v>
      </c>
      <c r="B5">
        <v>106</v>
      </c>
      <c r="C5">
        <v>106</v>
      </c>
      <c r="D5">
        <v>2.0253058652647704</v>
      </c>
    </row>
    <row r="6" spans="1:4" x14ac:dyDescent="0.3">
      <c r="A6">
        <v>5.0600000000000005E-4</v>
      </c>
      <c r="B6">
        <v>-92</v>
      </c>
      <c r="C6">
        <v>92</v>
      </c>
      <c r="D6">
        <v>1.9637878273455553</v>
      </c>
    </row>
    <row r="7" spans="1:4" x14ac:dyDescent="0.3">
      <c r="A7">
        <v>5.2800000000000004E-4</v>
      </c>
      <c r="B7">
        <v>68</v>
      </c>
      <c r="C7">
        <v>68</v>
      </c>
      <c r="D7">
        <v>1.8325089127062364</v>
      </c>
    </row>
    <row r="8" spans="1:4" x14ac:dyDescent="0.3">
      <c r="A8">
        <v>5.5599999999999996E-4</v>
      </c>
      <c r="B8">
        <v>-56</v>
      </c>
      <c r="C8">
        <v>56</v>
      </c>
      <c r="D8">
        <v>1.7481880270062005</v>
      </c>
    </row>
    <row r="9" spans="1:4" x14ac:dyDescent="0.3">
      <c r="A9">
        <v>5.7799999999999995E-4</v>
      </c>
      <c r="B9">
        <v>50</v>
      </c>
      <c r="C9">
        <v>50</v>
      </c>
      <c r="D9">
        <v>1.6989700043360187</v>
      </c>
    </row>
    <row r="10" spans="1:4" x14ac:dyDescent="0.3">
      <c r="A10">
        <v>6.0400000000000004E-4</v>
      </c>
      <c r="B10">
        <v>-40</v>
      </c>
      <c r="C10">
        <v>40</v>
      </c>
      <c r="D10">
        <v>1.6020599913279623</v>
      </c>
    </row>
    <row r="11" spans="1:4" x14ac:dyDescent="0.3">
      <c r="A11">
        <v>6.2600000000000004E-4</v>
      </c>
      <c r="B11">
        <v>28</v>
      </c>
      <c r="C11">
        <v>28</v>
      </c>
      <c r="D11">
        <v>1.4471580313422192</v>
      </c>
    </row>
    <row r="12" spans="1:4" x14ac:dyDescent="0.3">
      <c r="A12">
        <v>6.4800000000000003E-4</v>
      </c>
      <c r="B12">
        <v>-26</v>
      </c>
      <c r="C12">
        <v>26</v>
      </c>
      <c r="D12">
        <v>1.414973347970818</v>
      </c>
    </row>
    <row r="13" spans="1:4" x14ac:dyDescent="0.3">
      <c r="A13">
        <v>6.7199999999999996E-4</v>
      </c>
      <c r="B13">
        <v>24</v>
      </c>
      <c r="C13">
        <v>24</v>
      </c>
      <c r="D13">
        <v>1.3802112417116059</v>
      </c>
    </row>
    <row r="14" spans="1:4" x14ac:dyDescent="0.3">
      <c r="A14">
        <v>6.96E-4</v>
      </c>
      <c r="B14">
        <v>-18</v>
      </c>
      <c r="C14">
        <v>18</v>
      </c>
      <c r="D14">
        <v>1.255272505103306</v>
      </c>
    </row>
    <row r="15" spans="1:4" x14ac:dyDescent="0.3">
      <c r="A15">
        <v>7.1599999999999995E-4</v>
      </c>
      <c r="B15">
        <v>14</v>
      </c>
      <c r="C15">
        <v>14</v>
      </c>
      <c r="D15">
        <v>1.146128035678238</v>
      </c>
    </row>
    <row r="16" spans="1:4" x14ac:dyDescent="0.3">
      <c r="A16">
        <v>7.4200000000000004E-4</v>
      </c>
      <c r="B16">
        <v>-10</v>
      </c>
      <c r="C16">
        <v>10</v>
      </c>
      <c r="D16">
        <v>1</v>
      </c>
    </row>
    <row r="17" spans="1:4" x14ac:dyDescent="0.3">
      <c r="A17">
        <v>7.6599999999999997E-4</v>
      </c>
      <c r="B17">
        <v>12</v>
      </c>
      <c r="C17">
        <v>12</v>
      </c>
      <c r="D17">
        <v>1.0791812460476249</v>
      </c>
    </row>
    <row r="18" spans="1:4" x14ac:dyDescent="0.3">
      <c r="A18">
        <v>7.8799999999999996E-4</v>
      </c>
      <c r="B18">
        <v>-8</v>
      </c>
      <c r="C18">
        <v>8</v>
      </c>
      <c r="D18">
        <v>0.90308998699194354</v>
      </c>
    </row>
    <row r="19" spans="1:4" x14ac:dyDescent="0.3">
      <c r="A19">
        <v>8.12E-4</v>
      </c>
      <c r="B19">
        <v>6</v>
      </c>
      <c r="C19">
        <v>6</v>
      </c>
      <c r="D19">
        <v>0.77815125038364363</v>
      </c>
    </row>
    <row r="20" spans="1:4" x14ac:dyDescent="0.3">
      <c r="A20">
        <v>8.34E-4</v>
      </c>
      <c r="B20">
        <v>-8</v>
      </c>
      <c r="C20">
        <v>8</v>
      </c>
      <c r="D20">
        <v>0.90308998699194354</v>
      </c>
    </row>
    <row r="21" spans="1:4" x14ac:dyDescent="0.3">
      <c r="A21">
        <v>8.5800000000000004E-4</v>
      </c>
      <c r="B21">
        <v>6</v>
      </c>
      <c r="C21">
        <v>6</v>
      </c>
      <c r="D21">
        <v>0.77815125038364363</v>
      </c>
    </row>
    <row r="22" spans="1:4" x14ac:dyDescent="0.3">
      <c r="A22">
        <v>8.8199999999999997E-4</v>
      </c>
      <c r="B22">
        <v>-4</v>
      </c>
      <c r="C22">
        <v>4</v>
      </c>
      <c r="D22">
        <v>0.6020599913279624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1BE4-D6BD-4F7D-BF3F-18AFF9B80C36}">
  <dimension ref="A1:Y32"/>
  <sheetViews>
    <sheetView topLeftCell="D1" zoomScale="90" workbookViewId="0">
      <selection activeCell="T5" sqref="T5"/>
    </sheetView>
  </sheetViews>
  <sheetFormatPr defaultRowHeight="14.4" x14ac:dyDescent="0.3"/>
  <cols>
    <col min="1" max="3" width="10.33203125" customWidth="1"/>
    <col min="15" max="16" width="10.33203125" customWidth="1"/>
    <col min="19" max="19" width="11.109375" bestFit="1" customWidth="1"/>
    <col min="20" max="21" width="13.33203125" bestFit="1" customWidth="1"/>
    <col min="23" max="23" width="8.77734375" customWidth="1"/>
    <col min="24" max="25" width="12.21875" bestFit="1" customWidth="1"/>
  </cols>
  <sheetData>
    <row r="1" spans="1:25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K1" t="s">
        <v>16</v>
      </c>
      <c r="O1" t="s">
        <v>0</v>
      </c>
      <c r="P1" t="s">
        <v>4</v>
      </c>
    </row>
    <row r="2" spans="1:25" x14ac:dyDescent="0.3">
      <c r="A2">
        <v>8.8199999999999997E-4</v>
      </c>
      <c r="B2">
        <v>-200</v>
      </c>
      <c r="C2">
        <f>Table15[[#This Row],[Colonna1]]+$K$2</f>
        <v>-202</v>
      </c>
      <c r="D2">
        <f>ABS(Table15[[#This Row],[V]])</f>
        <v>202</v>
      </c>
      <c r="E2">
        <f>LOG(Table15[[#This Row],[ABS (V)]])</f>
        <v>2.3053513694466239</v>
      </c>
      <c r="K2">
        <v>-2</v>
      </c>
      <c r="O2">
        <f>Table15[[#This Row],[T]]-A4</f>
        <v>4.7999999999999974E-5</v>
      </c>
      <c r="P2">
        <f>2*PI()/Table26[[#This Row],[T]]</f>
        <v>130899.69389957478</v>
      </c>
    </row>
    <row r="3" spans="1:25" x14ac:dyDescent="0.3">
      <c r="A3">
        <v>8.5800000000000004E-4</v>
      </c>
      <c r="B3">
        <v>156</v>
      </c>
      <c r="C3">
        <f>Table15[[#This Row],[Colonna1]]+$K$2</f>
        <v>154</v>
      </c>
      <c r="D3">
        <f>ABS(Table15[[#This Row],[V]])</f>
        <v>154</v>
      </c>
      <c r="E3">
        <f>LOG(Table15[[#This Row],[ABS (V)]])</f>
        <v>2.1875207208364631</v>
      </c>
      <c r="O3">
        <f>A5-A7</f>
        <v>4.6000000000000034E-5</v>
      </c>
      <c r="P3">
        <f>2*PI()/Table26[[#This Row],[T]]</f>
        <v>136590.98493868657</v>
      </c>
    </row>
    <row r="4" spans="1:25" x14ac:dyDescent="0.3">
      <c r="A4">
        <v>8.34E-4</v>
      </c>
      <c r="B4">
        <v>-120</v>
      </c>
      <c r="C4">
        <f>Table15[[#This Row],[Colonna1]]+$K$2</f>
        <v>-122</v>
      </c>
      <c r="D4">
        <f>ABS(Table15[[#This Row],[V]])</f>
        <v>122</v>
      </c>
      <c r="E4">
        <f>LOG(Table15[[#This Row],[ABS (V)]])</f>
        <v>2.0863598306747484</v>
      </c>
      <c r="G4" s="1" t="s">
        <v>5</v>
      </c>
      <c r="H4" s="1" t="s">
        <v>6</v>
      </c>
      <c r="I4" s="1" t="s">
        <v>7</v>
      </c>
      <c r="K4" t="s">
        <v>14</v>
      </c>
      <c r="O4">
        <f>A8-A10</f>
        <v>4.6000000000000034E-5</v>
      </c>
      <c r="P4">
        <f>2*PI()/Table26[[#This Row],[T]]</f>
        <v>136590.98493868657</v>
      </c>
      <c r="R4" s="1" t="s">
        <v>12</v>
      </c>
      <c r="S4" s="1" t="s">
        <v>4</v>
      </c>
      <c r="T4" s="4" t="s">
        <v>8</v>
      </c>
      <c r="U4" s="1" t="s">
        <v>20</v>
      </c>
      <c r="W4" s="1" t="s">
        <v>17</v>
      </c>
      <c r="X4" s="1" t="s">
        <v>18</v>
      </c>
      <c r="Y4" s="1" t="s">
        <v>19</v>
      </c>
    </row>
    <row r="5" spans="1:25" x14ac:dyDescent="0.3">
      <c r="A5">
        <v>8.12E-4</v>
      </c>
      <c r="B5">
        <v>108</v>
      </c>
      <c r="C5">
        <f>Table15[[#This Row],[Colonna1]]+$K$2</f>
        <v>106</v>
      </c>
      <c r="D5">
        <f>ABS(Table15[[#This Row],[V]])</f>
        <v>106</v>
      </c>
      <c r="E5">
        <f>LOG(Table15[[#This Row],[ABS (V)]])</f>
        <v>2.0253058652647704</v>
      </c>
      <c r="G5" s="1">
        <v>230</v>
      </c>
      <c r="H5" s="1">
        <f>3041.4*2</f>
        <v>6082.8</v>
      </c>
      <c r="I5" s="1">
        <f>G5/H5</f>
        <v>3.7811534161899127E-2</v>
      </c>
      <c r="K5">
        <v>3509</v>
      </c>
      <c r="O5">
        <f>A11-A13</f>
        <v>4.5999999999999925E-5</v>
      </c>
      <c r="P5">
        <f>2*PI()/Table26[[#This Row],[T]]</f>
        <v>136590.98493868689</v>
      </c>
      <c r="R5" s="1">
        <v>1</v>
      </c>
      <c r="S5" s="1">
        <f>Table26[[#This Row],[ω]]</f>
        <v>136590.98493868689</v>
      </c>
      <c r="T5" s="4">
        <f>1/(S5^2*R5*10^-12)</f>
        <v>53.598906146796509</v>
      </c>
      <c r="U5" s="1">
        <f>(2*(X5/S5)+Y5/R5)*T5</f>
        <v>7.3407197548873446</v>
      </c>
      <c r="W5" s="1">
        <f>2*10^-6</f>
        <v>1.9999999999999999E-6</v>
      </c>
      <c r="X5" s="1">
        <f>(W5/O3)*S5</f>
        <v>5938.738475595077</v>
      </c>
      <c r="Y5" s="1">
        <f>R5*5/100</f>
        <v>0.05</v>
      </c>
    </row>
    <row r="6" spans="1:25" x14ac:dyDescent="0.3">
      <c r="A6">
        <v>7.8799999999999996E-4</v>
      </c>
      <c r="B6">
        <v>-90</v>
      </c>
      <c r="C6">
        <f>Table15[[#This Row],[Colonna1]]+$K$2</f>
        <v>-92</v>
      </c>
      <c r="D6">
        <f>ABS(Table15[[#This Row],[V]])</f>
        <v>92</v>
      </c>
      <c r="E6">
        <f>LOG(Table15[[#This Row],[ABS (V)]])</f>
        <v>1.9637878273455553</v>
      </c>
      <c r="P6" t="e">
        <f>2*PI()/Table26[[#This Row],[T]]</f>
        <v>#DIV/0!</v>
      </c>
    </row>
    <row r="7" spans="1:25" x14ac:dyDescent="0.3">
      <c r="A7">
        <v>7.6599999999999997E-4</v>
      </c>
      <c r="B7">
        <v>70</v>
      </c>
      <c r="C7">
        <f>Table15[[#This Row],[Colonna1]]+$K$2</f>
        <v>68</v>
      </c>
      <c r="D7">
        <f>ABS(Table15[[#This Row],[V]])</f>
        <v>68</v>
      </c>
      <c r="E7">
        <f>LOG(Table15[[#This Row],[ABS (V)]])</f>
        <v>1.8325089127062364</v>
      </c>
      <c r="P7" t="e">
        <f>2*PI()/Table26[[#This Row],[T]]</f>
        <v>#DIV/0!</v>
      </c>
      <c r="S7" s="1" t="s">
        <v>13</v>
      </c>
      <c r="T7" s="4" t="s">
        <v>21</v>
      </c>
    </row>
    <row r="8" spans="1:25" x14ac:dyDescent="0.3">
      <c r="A8">
        <v>7.4200000000000004E-4</v>
      </c>
      <c r="B8">
        <v>-54</v>
      </c>
      <c r="C8">
        <f>Table15[[#This Row],[Colonna1]]+$K$2</f>
        <v>-56</v>
      </c>
      <c r="D8">
        <f>ABS(Table15[[#This Row],[V]])</f>
        <v>56</v>
      </c>
      <c r="E8">
        <f>LOG(Table15[[#This Row],[ABS (V)]])</f>
        <v>1.7481880270062005</v>
      </c>
      <c r="P8" t="e">
        <f>2*PI()/Table26[[#This Row],[T]]</f>
        <v>#DIV/0!</v>
      </c>
      <c r="S8" s="1">
        <v>43</v>
      </c>
      <c r="T8" s="4">
        <f>ABS(T5-S8)/S8*100</f>
        <v>24.648618946038393</v>
      </c>
      <c r="W8" s="5"/>
    </row>
    <row r="9" spans="1:25" x14ac:dyDescent="0.3">
      <c r="A9">
        <v>7.1599999999999995E-4</v>
      </c>
      <c r="B9">
        <v>52</v>
      </c>
      <c r="C9">
        <f>Table15[[#This Row],[Colonna1]]+$K$2</f>
        <v>50</v>
      </c>
      <c r="D9">
        <f>ABS(Table15[[#This Row],[V]])</f>
        <v>50</v>
      </c>
      <c r="E9">
        <f>LOG(Table15[[#This Row],[ABS (V)]])</f>
        <v>1.6989700043360187</v>
      </c>
      <c r="P9" t="e">
        <f>2*PI()/Table26[[#This Row],[T]]</f>
        <v>#DIV/0!</v>
      </c>
    </row>
    <row r="10" spans="1:25" x14ac:dyDescent="0.3">
      <c r="A10">
        <v>6.96E-4</v>
      </c>
      <c r="B10">
        <v>-38</v>
      </c>
      <c r="C10">
        <f>Table15[[#This Row],[Colonna1]]+$K$2</f>
        <v>-40</v>
      </c>
      <c r="D10">
        <f>ABS(Table15[[#This Row],[V]])</f>
        <v>40</v>
      </c>
      <c r="E10">
        <f>LOG(Table15[[#This Row],[ABS (V)]])</f>
        <v>1.6020599913279623</v>
      </c>
      <c r="P10" t="e">
        <f>2*PI()/Table26[[#This Row],[T]]</f>
        <v>#DIV/0!</v>
      </c>
    </row>
    <row r="11" spans="1:25" x14ac:dyDescent="0.3">
      <c r="A11">
        <v>6.7199999999999996E-4</v>
      </c>
      <c r="B11">
        <v>30</v>
      </c>
      <c r="C11">
        <f>Table15[[#This Row],[Colonna1]]+$K$2</f>
        <v>28</v>
      </c>
      <c r="D11">
        <f>ABS(Table15[[#This Row],[V]])</f>
        <v>28</v>
      </c>
      <c r="E11">
        <f>LOG(Table15[[#This Row],[ABS (V)]])</f>
        <v>1.4471580313422192</v>
      </c>
      <c r="P11" t="e">
        <f>2*PI()/Table26[[#This Row],[T]]</f>
        <v>#DIV/0!</v>
      </c>
    </row>
    <row r="12" spans="1:25" x14ac:dyDescent="0.3">
      <c r="A12">
        <v>6.4800000000000003E-4</v>
      </c>
      <c r="B12">
        <v>-24</v>
      </c>
      <c r="C12">
        <f>Table15[[#This Row],[Colonna1]]+$K$2</f>
        <v>-26</v>
      </c>
      <c r="D12">
        <f>ABS(Table15[[#This Row],[V]])</f>
        <v>26</v>
      </c>
      <c r="E12">
        <f>LOG(Table15[[#This Row],[ABS (V)]])</f>
        <v>1.414973347970818</v>
      </c>
      <c r="P12" t="e">
        <f>2*PI()/Table26[[#This Row],[T]]</f>
        <v>#DIV/0!</v>
      </c>
    </row>
    <row r="13" spans="1:25" x14ac:dyDescent="0.3">
      <c r="A13">
        <v>6.2600000000000004E-4</v>
      </c>
      <c r="B13">
        <v>26</v>
      </c>
      <c r="C13">
        <f>Table15[[#This Row],[Colonna1]]+$K$2</f>
        <v>24</v>
      </c>
      <c r="D13">
        <f>ABS(Table15[[#This Row],[V]])</f>
        <v>24</v>
      </c>
      <c r="E13">
        <f>LOG(Table15[[#This Row],[ABS (V)]])</f>
        <v>1.3802112417116059</v>
      </c>
      <c r="P13" t="e">
        <f>2*PI()/Table26[[#This Row],[T]]</f>
        <v>#DIV/0!</v>
      </c>
    </row>
    <row r="14" spans="1:25" x14ac:dyDescent="0.3">
      <c r="A14">
        <v>6.0400000000000004E-4</v>
      </c>
      <c r="B14">
        <v>-16</v>
      </c>
      <c r="C14">
        <f>Table15[[#This Row],[Colonna1]]+$K$2</f>
        <v>-18</v>
      </c>
      <c r="D14">
        <f>ABS(Table15[[#This Row],[V]])</f>
        <v>18</v>
      </c>
      <c r="E14">
        <f>LOG(Table15[[#This Row],[ABS (V)]])</f>
        <v>1.255272505103306</v>
      </c>
      <c r="P14" t="e">
        <f>2*PI()/Table26[[#This Row],[T]]</f>
        <v>#DIV/0!</v>
      </c>
    </row>
    <row r="15" spans="1:25" x14ac:dyDescent="0.3">
      <c r="A15">
        <v>5.7799999999999995E-4</v>
      </c>
      <c r="B15">
        <v>16</v>
      </c>
      <c r="C15">
        <f>Table15[[#This Row],[Colonna1]]+$K$2</f>
        <v>14</v>
      </c>
      <c r="D15">
        <f>ABS(Table15[[#This Row],[V]])</f>
        <v>14</v>
      </c>
      <c r="E15">
        <f>LOG(Table15[[#This Row],[ABS (V)]])</f>
        <v>1.146128035678238</v>
      </c>
      <c r="P15" t="e">
        <f>2*PI()/Table26[[#This Row],[T]]</f>
        <v>#DIV/0!</v>
      </c>
    </row>
    <row r="16" spans="1:25" x14ac:dyDescent="0.3">
      <c r="A16">
        <v>5.5599999999999996E-4</v>
      </c>
      <c r="B16">
        <v>-8</v>
      </c>
      <c r="C16">
        <f>Table15[[#This Row],[Colonna1]]+$K$2</f>
        <v>-10</v>
      </c>
      <c r="D16">
        <f>ABS(Table15[[#This Row],[V]])</f>
        <v>10</v>
      </c>
      <c r="E16">
        <f>LOG(Table15[[#This Row],[ABS (V)]])</f>
        <v>1</v>
      </c>
      <c r="P16" t="e">
        <f>2*PI()/Table26[[#This Row],[T]]</f>
        <v>#DIV/0!</v>
      </c>
    </row>
    <row r="17" spans="1:16" x14ac:dyDescent="0.3">
      <c r="A17">
        <v>5.2800000000000004E-4</v>
      </c>
      <c r="B17">
        <v>14</v>
      </c>
      <c r="C17">
        <f>Table15[[#This Row],[Colonna1]]+$K$2</f>
        <v>12</v>
      </c>
      <c r="D17">
        <f>ABS(Table15[[#This Row],[V]])</f>
        <v>12</v>
      </c>
      <c r="E17">
        <f>LOG(Table15[[#This Row],[ABS (V)]])</f>
        <v>1.0791812460476249</v>
      </c>
      <c r="P17" t="e">
        <f>2*PI()/Table26[[#This Row],[T]]</f>
        <v>#DIV/0!</v>
      </c>
    </row>
    <row r="18" spans="1:16" x14ac:dyDescent="0.3">
      <c r="A18">
        <v>5.0600000000000005E-4</v>
      </c>
      <c r="B18">
        <v>-6</v>
      </c>
      <c r="C18">
        <f>Table15[[#This Row],[Colonna1]]+$K$2</f>
        <v>-8</v>
      </c>
      <c r="D18">
        <f>ABS(Table15[[#This Row],[V]])</f>
        <v>8</v>
      </c>
      <c r="E18">
        <f>LOG(Table15[[#This Row],[ABS (V)]])</f>
        <v>0.90308998699194354</v>
      </c>
      <c r="P18" t="e">
        <f>2*PI()/Table26[[#This Row],[T]]</f>
        <v>#DIV/0!</v>
      </c>
    </row>
    <row r="19" spans="1:16" x14ac:dyDescent="0.3">
      <c r="A19">
        <v>4.84E-4</v>
      </c>
      <c r="B19">
        <v>8</v>
      </c>
      <c r="C19">
        <f>Table15[[#This Row],[Colonna1]]+$K$2</f>
        <v>6</v>
      </c>
      <c r="D19">
        <f>ABS(Table15[[#This Row],[V]])</f>
        <v>6</v>
      </c>
      <c r="E19">
        <f>LOG(Table15[[#This Row],[ABS (V)]])</f>
        <v>0.77815125038364363</v>
      </c>
      <c r="P19" t="e">
        <f>2*PI()/Table26[[#This Row],[T]]</f>
        <v>#DIV/0!</v>
      </c>
    </row>
    <row r="20" spans="1:16" x14ac:dyDescent="0.3">
      <c r="A20">
        <v>4.5800000000000002E-4</v>
      </c>
      <c r="B20">
        <v>-6</v>
      </c>
      <c r="C20">
        <f>Table15[[#This Row],[Colonna1]]+$K$2</f>
        <v>-8</v>
      </c>
      <c r="D20">
        <f>ABS(Table15[[#This Row],[V]])</f>
        <v>8</v>
      </c>
      <c r="E20">
        <f>LOG(Table15[[#This Row],[ABS (V)]])</f>
        <v>0.90308998699194354</v>
      </c>
      <c r="P20" t="e">
        <f>2*PI()/Table26[[#This Row],[T]]</f>
        <v>#DIV/0!</v>
      </c>
    </row>
    <row r="21" spans="1:16" x14ac:dyDescent="0.3">
      <c r="A21">
        <v>4.3600000000000003E-4</v>
      </c>
      <c r="B21">
        <v>8</v>
      </c>
      <c r="C21">
        <f>Table15[[#This Row],[Colonna1]]+$K$2</f>
        <v>6</v>
      </c>
      <c r="D21">
        <f>ABS(Table15[[#This Row],[V]])</f>
        <v>6</v>
      </c>
      <c r="E21">
        <f>LOG(Table15[[#This Row],[ABS (V)]])</f>
        <v>0.77815125038364363</v>
      </c>
      <c r="P21" t="e">
        <f>2*PI()/Table26[[#This Row],[T]]</f>
        <v>#DIV/0!</v>
      </c>
    </row>
    <row r="22" spans="1:16" x14ac:dyDescent="0.3">
      <c r="A22">
        <v>4.1199999999999999E-4</v>
      </c>
      <c r="B22">
        <v>-2</v>
      </c>
      <c r="C22">
        <f>Table15[[#This Row],[Colonna1]]+$K$2</f>
        <v>-4</v>
      </c>
      <c r="D22">
        <f>ABS(Table15[[#This Row],[V]])</f>
        <v>4</v>
      </c>
      <c r="E22">
        <f>LOG(Table15[[#This Row],[ABS (V)]])</f>
        <v>0.6020599913279624</v>
      </c>
      <c r="P22" t="e">
        <f>2*PI()/Table26[[#This Row],[T]]</f>
        <v>#DIV/0!</v>
      </c>
    </row>
    <row r="23" spans="1:16" x14ac:dyDescent="0.3">
      <c r="P23" t="e">
        <f>2*PI()/Table26[[#This Row],[T]]</f>
        <v>#DIV/0!</v>
      </c>
    </row>
    <row r="24" spans="1:16" x14ac:dyDescent="0.3">
      <c r="P24" t="e">
        <f>2*PI()/Table26[[#This Row],[T]]</f>
        <v>#DIV/0!</v>
      </c>
    </row>
    <row r="25" spans="1:16" x14ac:dyDescent="0.3">
      <c r="P25" t="e">
        <f>2*PI()/Table26[[#This Row],[T]]</f>
        <v>#DIV/0!</v>
      </c>
    </row>
    <row r="26" spans="1:16" x14ac:dyDescent="0.3">
      <c r="P26" t="e">
        <f>2*PI()/Table26[[#This Row],[T]]</f>
        <v>#DIV/0!</v>
      </c>
    </row>
    <row r="27" spans="1:16" x14ac:dyDescent="0.3">
      <c r="P27" t="e">
        <f>2*PI()/Table26[[#This Row],[T]]</f>
        <v>#DIV/0!</v>
      </c>
    </row>
    <row r="28" spans="1:16" x14ac:dyDescent="0.3">
      <c r="P28" t="e">
        <f>2*PI()/Table26[[#This Row],[T]]</f>
        <v>#DIV/0!</v>
      </c>
    </row>
    <row r="29" spans="1:16" x14ac:dyDescent="0.3">
      <c r="P29" t="e">
        <f>2*PI()/Table26[[#This Row],[T]]</f>
        <v>#DIV/0!</v>
      </c>
    </row>
    <row r="30" spans="1:16" x14ac:dyDescent="0.3">
      <c r="P30" t="e">
        <f>2*PI()/Table26[[#This Row],[T]]</f>
        <v>#DIV/0!</v>
      </c>
    </row>
    <row r="31" spans="1:16" x14ac:dyDescent="0.3">
      <c r="P31" t="e">
        <f>2*PI()/Table26[[#This Row],[T]]</f>
        <v>#DIV/0!</v>
      </c>
    </row>
    <row r="32" spans="1:16" x14ac:dyDescent="0.3">
      <c r="P32" t="e">
        <f>2*PI()/Table26[[#This Row],[T]]</f>
        <v>#DIV/0!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FE4C-3AEF-4149-AA8B-04A42B5DF931}">
  <dimension ref="A1:W31"/>
  <sheetViews>
    <sheetView tabSelected="1" zoomScale="77" workbookViewId="0">
      <selection activeCell="M24" sqref="M24"/>
    </sheetView>
  </sheetViews>
  <sheetFormatPr defaultRowHeight="14.4" x14ac:dyDescent="0.3"/>
  <cols>
    <col min="1" max="3" width="10.33203125" customWidth="1"/>
    <col min="5" max="5" width="12.33203125" bestFit="1" customWidth="1"/>
    <col min="6" max="6" width="9" bestFit="1" customWidth="1"/>
    <col min="13" max="13" width="15.77734375" bestFit="1" customWidth="1"/>
    <col min="14" max="14" width="11.77734375" bestFit="1" customWidth="1"/>
    <col min="15" max="15" width="12" bestFit="1" customWidth="1"/>
  </cols>
  <sheetData>
    <row r="1" spans="1:21" x14ac:dyDescent="0.3">
      <c r="A1" t="s">
        <v>1</v>
      </c>
      <c r="B1" t="s">
        <v>0</v>
      </c>
      <c r="C1" s="2" t="s">
        <v>4</v>
      </c>
      <c r="E1" s="1" t="s">
        <v>9</v>
      </c>
      <c r="M1" s="1" t="s">
        <v>35</v>
      </c>
      <c r="S1" s="17">
        <v>172</v>
      </c>
      <c r="T1" s="18">
        <v>2.9999999999999997E-4</v>
      </c>
      <c r="U1" s="19" t="e">
        <f>2*PI()/Table3[[#This Row],[T]]</f>
        <v>#VALUE!</v>
      </c>
    </row>
    <row r="2" spans="1:21" x14ac:dyDescent="0.3">
      <c r="B2" s="23"/>
      <c r="C2" s="23"/>
      <c r="E2" s="1">
        <f>E5/SQRT(2)</f>
        <v>545.15509308674586</v>
      </c>
      <c r="M2" s="1" t="s">
        <v>1</v>
      </c>
      <c r="N2" s="12" t="s">
        <v>4</v>
      </c>
      <c r="S2" s="20">
        <v>208</v>
      </c>
      <c r="T2" s="21">
        <v>2.1000000000000001E-4</v>
      </c>
      <c r="U2" s="22" t="e">
        <f>2*PI()/Table3[[#This Row],[T]]</f>
        <v>#DIV/0!</v>
      </c>
    </row>
    <row r="3" spans="1:21" x14ac:dyDescent="0.3">
      <c r="B3" s="23"/>
      <c r="C3" s="23"/>
      <c r="M3" s="1">
        <v>756</v>
      </c>
      <c r="N3" s="1" t="e">
        <f>2*PI()/Table3[[#This Row],[T]]</f>
        <v>#DIV/0!</v>
      </c>
      <c r="S3" s="17">
        <v>232</v>
      </c>
      <c r="T3" s="18">
        <v>1.8000000000000001E-4</v>
      </c>
      <c r="U3" s="19" t="e">
        <f>2*PI()/Table3[[#This Row],[T]]</f>
        <v>#DIV/0!</v>
      </c>
    </row>
    <row r="4" spans="1:21" x14ac:dyDescent="0.3">
      <c r="B4" s="23"/>
      <c r="C4" s="23"/>
      <c r="E4" s="1" t="s">
        <v>10</v>
      </c>
      <c r="F4" s="1" t="s">
        <v>11</v>
      </c>
      <c r="M4" s="1">
        <v>772</v>
      </c>
      <c r="N4" s="1" t="e">
        <f>2*PI()/Table3[[#This Row],[T]]</f>
        <v>#DIV/0!</v>
      </c>
      <c r="S4" s="20">
        <v>296</v>
      </c>
      <c r="T4" s="21">
        <v>1.5300000000000001E-4</v>
      </c>
      <c r="U4" s="22" t="e">
        <f>2*PI()/Table3[[#This Row],[T]]</f>
        <v>#DIV/0!</v>
      </c>
    </row>
    <row r="5" spans="1:21" x14ac:dyDescent="0.3">
      <c r="B5" s="23"/>
      <c r="C5" s="23"/>
      <c r="E5" s="1">
        <f>N15</f>
        <v>770.96572624004318</v>
      </c>
      <c r="F5" s="1">
        <f>INDEX(A:A, MATCH(MAX(C:C), C:C, 0))</f>
        <v>372</v>
      </c>
      <c r="M5" s="1">
        <v>752</v>
      </c>
      <c r="N5" s="1" t="e">
        <f>2*PI()/Table3[[#This Row],[T]]</f>
        <v>#DIV/0!</v>
      </c>
    </row>
    <row r="6" spans="1:21" x14ac:dyDescent="0.3">
      <c r="A6">
        <v>360</v>
      </c>
      <c r="B6">
        <v>1.3999999999999999E-4</v>
      </c>
      <c r="C6">
        <f>2*PI()/Table3[[#This Row],[T]]</f>
        <v>44879.895051282765</v>
      </c>
      <c r="S6" s="17">
        <v>288</v>
      </c>
      <c r="T6" s="18">
        <v>9.2E-5</v>
      </c>
      <c r="U6" s="19">
        <f>2*PI()/Table3[[#This Row],[T]]</f>
        <v>44879.895051282765</v>
      </c>
    </row>
    <row r="7" spans="1:21" x14ac:dyDescent="0.3">
      <c r="A7">
        <v>532</v>
      </c>
      <c r="B7">
        <v>1.2999999999999999E-4</v>
      </c>
      <c r="C7">
        <f>2*PI()/Table3[[#This Row],[T]]</f>
        <v>48332.194670612203</v>
      </c>
      <c r="S7" s="20">
        <v>232</v>
      </c>
      <c r="T7" s="21">
        <v>8.6000000000000003E-5</v>
      </c>
      <c r="U7" s="22">
        <f>2*PI()/Table3[[#This Row],[T]]</f>
        <v>48332.194670612203</v>
      </c>
    </row>
    <row r="8" spans="1:21" x14ac:dyDescent="0.3">
      <c r="A8">
        <v>492</v>
      </c>
      <c r="B8">
        <v>1.2999999999999999E-4</v>
      </c>
      <c r="C8">
        <f>2*PI()/Table3[[#This Row],[T]]</f>
        <v>48332.194670612203</v>
      </c>
      <c r="M8" t="s">
        <v>36</v>
      </c>
      <c r="S8" s="17">
        <v>148</v>
      </c>
      <c r="T8" s="18">
        <v>7.7999999999999999E-5</v>
      </c>
      <c r="U8" s="19">
        <f>2*PI()/Table3[[#This Row],[T]]</f>
        <v>48332.194670612203</v>
      </c>
    </row>
    <row r="9" spans="1:21" x14ac:dyDescent="0.3">
      <c r="A9" s="3">
        <v>536</v>
      </c>
      <c r="B9" s="3">
        <v>1.2799999999999999E-4</v>
      </c>
      <c r="C9" s="3">
        <f>2*PI()/Table3[[#This Row],[T]]</f>
        <v>49087.385212340523</v>
      </c>
      <c r="M9" t="s">
        <v>37</v>
      </c>
      <c r="S9" s="20">
        <v>88</v>
      </c>
      <c r="T9" s="21">
        <v>6.4399999999999993E-5</v>
      </c>
      <c r="U9" s="22">
        <f>2*PI()/Table3[[#This Row],[T]]</f>
        <v>49087.385212340523</v>
      </c>
    </row>
    <row r="10" spans="1:21" x14ac:dyDescent="0.3">
      <c r="A10">
        <v>572</v>
      </c>
      <c r="B10">
        <v>1.26E-4</v>
      </c>
      <c r="C10">
        <f>2*PI()/Table3[[#This Row],[T]]</f>
        <v>49866.550056980843</v>
      </c>
      <c r="M10" t="s">
        <v>38</v>
      </c>
      <c r="N10">
        <v>-5.7999999999999995E-7</v>
      </c>
      <c r="O10">
        <f>2*N10</f>
        <v>-1.1599999999999999E-6</v>
      </c>
    </row>
    <row r="11" spans="1:21" x14ac:dyDescent="0.3">
      <c r="A11" s="3">
        <v>548</v>
      </c>
      <c r="B11" s="3">
        <v>1.26E-4</v>
      </c>
      <c r="C11" s="3">
        <f>2*PI()/Table3[[#This Row],[T]]</f>
        <v>49866.550056980843</v>
      </c>
      <c r="M11" t="s">
        <v>39</v>
      </c>
      <c r="N11">
        <v>4.0800000000000003E-2</v>
      </c>
    </row>
    <row r="12" spans="1:21" x14ac:dyDescent="0.3">
      <c r="A12">
        <v>624</v>
      </c>
      <c r="B12">
        <v>1.22E-4</v>
      </c>
      <c r="C12">
        <f>2*PI()/Table3[[#This Row],[T]]</f>
        <v>51501.518911308085</v>
      </c>
      <c r="M12" t="s">
        <v>40</v>
      </c>
      <c r="N12">
        <v>55.157899999999998</v>
      </c>
    </row>
    <row r="13" spans="1:21" x14ac:dyDescent="0.3">
      <c r="A13">
        <v>608</v>
      </c>
      <c r="B13">
        <v>1.22E-4</v>
      </c>
      <c r="C13">
        <f>2*PI()/Table3[[#This Row],[T]]</f>
        <v>51501.518911308085</v>
      </c>
      <c r="M13" t="s">
        <v>41</v>
      </c>
    </row>
    <row r="14" spans="1:21" x14ac:dyDescent="0.3">
      <c r="A14">
        <v>696</v>
      </c>
      <c r="B14">
        <v>1.18E-4</v>
      </c>
      <c r="C14">
        <f>2*PI()/Table3[[#This Row],[T]]</f>
        <v>53247.333111691412</v>
      </c>
      <c r="M14" t="s">
        <v>43</v>
      </c>
      <c r="N14">
        <f>-0.04075137/O10</f>
        <v>35130.491379310348</v>
      </c>
    </row>
    <row r="15" spans="1:21" x14ac:dyDescent="0.3">
      <c r="A15">
        <v>716</v>
      </c>
      <c r="B15">
        <v>1.16E-4</v>
      </c>
      <c r="C15">
        <f>2*PI()/Table3[[#This Row],[T]]</f>
        <v>54165.390579134364</v>
      </c>
      <c r="M15" t="s">
        <v>42</v>
      </c>
      <c r="N15">
        <f xml:space="preserve"> - 0.00000058*35130.4913793103^2 + 0.04075137*35130.4913793103 + 55.1579</f>
        <v>770.96572624004318</v>
      </c>
    </row>
    <row r="16" spans="1:21" x14ac:dyDescent="0.3">
      <c r="A16">
        <v>756</v>
      </c>
      <c r="B16">
        <v>1.1400000000000001E-4</v>
      </c>
      <c r="C16">
        <f>2*PI()/Table3[[#This Row],[T]]</f>
        <v>55115.66058929461</v>
      </c>
    </row>
    <row r="17" spans="1:23" x14ac:dyDescent="0.3">
      <c r="A17">
        <v>772</v>
      </c>
      <c r="B17">
        <f>2*0.0000565</f>
        <v>1.13E-4</v>
      </c>
      <c r="C17">
        <f>2*PI()/Table3[[#This Row],[T]]</f>
        <v>55603.409798049441</v>
      </c>
      <c r="M17" t="s">
        <v>44</v>
      </c>
      <c r="P17" t="s">
        <v>46</v>
      </c>
      <c r="T17" t="s">
        <v>51</v>
      </c>
    </row>
    <row r="18" spans="1:23" ht="14.4" customHeight="1" x14ac:dyDescent="0.3">
      <c r="A18">
        <v>752</v>
      </c>
      <c r="B18">
        <f>2*0.000055</f>
        <v>1.1E-4</v>
      </c>
      <c r="C18">
        <f>2*PI()/Table3[[#This Row],[T]]</f>
        <v>57119.866428905327</v>
      </c>
      <c r="M18" t="s">
        <v>50</v>
      </c>
      <c r="P18" t="s">
        <v>47</v>
      </c>
      <c r="S18" s="15"/>
      <c r="T18" s="27" t="s">
        <v>52</v>
      </c>
      <c r="U18" s="27"/>
      <c r="V18" s="27"/>
      <c r="W18" s="27"/>
    </row>
    <row r="19" spans="1:23" x14ac:dyDescent="0.3">
      <c r="A19">
        <v>680</v>
      </c>
      <c r="B19">
        <f>2*0.000053</f>
        <v>1.06E-4</v>
      </c>
      <c r="C19">
        <f>2*PI()/Table3[[#This Row],[T]]</f>
        <v>59275.333086599872</v>
      </c>
      <c r="M19" t="s">
        <v>49</v>
      </c>
      <c r="P19" t="s">
        <v>48</v>
      </c>
      <c r="S19" s="15"/>
      <c r="T19" s="27"/>
      <c r="U19" s="27"/>
      <c r="V19" s="27"/>
      <c r="W19" s="27"/>
    </row>
    <row r="20" spans="1:23" x14ac:dyDescent="0.3">
      <c r="A20">
        <v>612</v>
      </c>
      <c r="B20">
        <f>2*0.000053</f>
        <v>1.06E-4</v>
      </c>
      <c r="C20">
        <f>2*PI()/Table3[[#This Row],[T]]</f>
        <v>59275.333086599872</v>
      </c>
      <c r="M20" t="s">
        <v>45</v>
      </c>
    </row>
    <row r="21" spans="1:23" x14ac:dyDescent="0.3">
      <c r="A21" s="3">
        <v>564</v>
      </c>
      <c r="B21" s="3">
        <v>1.02E-4</v>
      </c>
      <c r="C21" s="3">
        <f>2*PI()/Table3[[#This Row],[T]]</f>
        <v>61599.85595274104</v>
      </c>
      <c r="M21" t="s">
        <v>6</v>
      </c>
    </row>
    <row r="22" spans="1:23" x14ac:dyDescent="0.3">
      <c r="B22" s="23"/>
      <c r="C22" s="23"/>
      <c r="M22">
        <f>(15399-54861)*-1</f>
        <v>39462</v>
      </c>
      <c r="N22">
        <f>61899-49671</f>
        <v>12228</v>
      </c>
    </row>
    <row r="23" spans="1:23" x14ac:dyDescent="0.3">
      <c r="A23">
        <v>516</v>
      </c>
      <c r="B23">
        <f>0.0000505*2</f>
        <v>1.01E-4</v>
      </c>
      <c r="C23">
        <f>2*PI()/Table3[[#This Row],[T]]</f>
        <v>62209.755516629564</v>
      </c>
      <c r="M23" t="s">
        <v>7</v>
      </c>
      <c r="N23" s="14"/>
    </row>
    <row r="24" spans="1:23" x14ac:dyDescent="0.3">
      <c r="A24">
        <v>524</v>
      </c>
      <c r="B24">
        <v>1.01E-4</v>
      </c>
      <c r="C24">
        <f>2*PI()/Table3[[#This Row],[T]]</f>
        <v>62209.755516629564</v>
      </c>
      <c r="M24">
        <f>(230/N22)*1000</f>
        <v>18.809290153745501</v>
      </c>
    </row>
    <row r="25" spans="1:23" x14ac:dyDescent="0.3">
      <c r="A25">
        <v>488</v>
      </c>
      <c r="B25">
        <v>1E-4</v>
      </c>
      <c r="C25">
        <f>2*PI()/Table3[[#This Row],[T]]</f>
        <v>62831.853071795857</v>
      </c>
      <c r="M25" t="s">
        <v>8</v>
      </c>
      <c r="Q25" s="13"/>
    </row>
    <row r="26" spans="1:23" x14ac:dyDescent="0.3">
      <c r="A26">
        <v>436</v>
      </c>
      <c r="B26">
        <f>0.000098</f>
        <v>9.7999999999999997E-5</v>
      </c>
      <c r="C26">
        <f>2*PI()/Table3[[#This Row],[T]]</f>
        <v>64114.135787546802</v>
      </c>
      <c r="M26">
        <f>1/(N14^2*1*10^-9)</f>
        <v>0.81027334256261596</v>
      </c>
    </row>
    <row r="27" spans="1:23" x14ac:dyDescent="0.3">
      <c r="A27">
        <v>372</v>
      </c>
      <c r="B27">
        <v>9.3999999999999994E-5</v>
      </c>
      <c r="C27">
        <f>2*PI()/Table3[[#This Row],[T]]</f>
        <v>66842.396884889225</v>
      </c>
    </row>
    <row r="28" spans="1:23" x14ac:dyDescent="0.3">
      <c r="B28" s="23"/>
      <c r="C28" s="23"/>
    </row>
    <row r="29" spans="1:23" x14ac:dyDescent="0.3">
      <c r="B29" s="23"/>
      <c r="C29" s="23"/>
      <c r="F29" s="24">
        <v>544</v>
      </c>
      <c r="G29" s="25">
        <v>1.02E-4</v>
      </c>
      <c r="H29" s="26" t="e">
        <f>2*PI()/Table3[[#This Row],[T]]</f>
        <v>#DIV/0!</v>
      </c>
    </row>
    <row r="30" spans="1:23" x14ac:dyDescent="0.3">
      <c r="B30" s="23"/>
      <c r="C30" s="23"/>
      <c r="P30" s="16"/>
      <c r="Q30" s="16"/>
      <c r="R30" s="16"/>
      <c r="S30" s="16"/>
      <c r="T30" s="16"/>
    </row>
    <row r="31" spans="1:23" x14ac:dyDescent="0.3">
      <c r="B31" s="23"/>
      <c r="C31" s="23"/>
      <c r="P31" s="16"/>
      <c r="Q31" s="16"/>
      <c r="R31" s="16"/>
      <c r="S31" s="16"/>
      <c r="T31" s="16"/>
    </row>
  </sheetData>
  <mergeCells count="1">
    <mergeCell ref="T18:W19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9B6D-CF65-4F71-A3DA-CF5109E902B3}">
  <dimension ref="A1:N22"/>
  <sheetViews>
    <sheetView workbookViewId="0">
      <selection activeCell="G17" sqref="G17"/>
    </sheetView>
  </sheetViews>
  <sheetFormatPr defaultRowHeight="14.4" x14ac:dyDescent="0.3"/>
  <cols>
    <col min="11" max="13" width="10.77734375" bestFit="1" customWidth="1"/>
  </cols>
  <sheetData>
    <row r="1" spans="1:14" x14ac:dyDescent="0.3">
      <c r="A1" s="8" t="s">
        <v>22</v>
      </c>
    </row>
    <row r="2" spans="1:14" x14ac:dyDescent="0.3">
      <c r="A2" s="1" t="s">
        <v>27</v>
      </c>
      <c r="B2" s="1" t="s">
        <v>28</v>
      </c>
      <c r="D2" s="1" t="s">
        <v>6</v>
      </c>
      <c r="E2" s="6" t="s">
        <v>24</v>
      </c>
      <c r="F2" s="1" t="s">
        <v>25</v>
      </c>
      <c r="H2" s="9" t="s">
        <v>29</v>
      </c>
      <c r="I2" s="9" t="s">
        <v>23</v>
      </c>
      <c r="K2" s="1" t="s">
        <v>26</v>
      </c>
      <c r="L2" s="9" t="s">
        <v>21</v>
      </c>
    </row>
    <row r="3" spans="1:14" x14ac:dyDescent="0.3">
      <c r="A3" s="1">
        <v>216</v>
      </c>
      <c r="B3" s="1">
        <v>2.16</v>
      </c>
      <c r="D3" s="1">
        <v>6086.3059999999996</v>
      </c>
      <c r="E3" s="6">
        <v>144.32499999999999</v>
      </c>
      <c r="F3" s="1">
        <f>E3*3</f>
        <v>432.97499999999997</v>
      </c>
      <c r="H3" s="9">
        <v>35.49</v>
      </c>
      <c r="I3" s="9">
        <f>(B3/A3+F3/D3)*H3</f>
        <v>2.8796305590616051</v>
      </c>
      <c r="K3" s="1">
        <v>42</v>
      </c>
      <c r="L3" s="11">
        <v>0.155</v>
      </c>
    </row>
    <row r="5" spans="1:14" x14ac:dyDescent="0.3">
      <c r="A5" s="1" t="s">
        <v>12</v>
      </c>
      <c r="B5" s="1" t="s">
        <v>31</v>
      </c>
      <c r="D5" s="1" t="s">
        <v>33</v>
      </c>
      <c r="E5" s="1" t="s">
        <v>32</v>
      </c>
      <c r="G5" s="1" t="s">
        <v>4</v>
      </c>
      <c r="H5" s="1" t="s">
        <v>34</v>
      </c>
      <c r="J5" s="4" t="s">
        <v>8</v>
      </c>
      <c r="K5" s="4" t="s">
        <v>20</v>
      </c>
      <c r="M5" s="1" t="s">
        <v>26</v>
      </c>
      <c r="N5" s="4" t="s">
        <v>21</v>
      </c>
    </row>
    <row r="6" spans="1:14" x14ac:dyDescent="0.3">
      <c r="A6" s="1">
        <v>2.4</v>
      </c>
      <c r="B6" s="1">
        <f>A6*0.05</f>
        <v>0.12</v>
      </c>
      <c r="D6" s="1">
        <v>5.0000000000000023E-5</v>
      </c>
      <c r="E6" s="1">
        <f>2*10^-6</f>
        <v>1.9999999999999999E-6</v>
      </c>
      <c r="G6" s="1">
        <v>125663.70614359167</v>
      </c>
      <c r="H6" s="1">
        <f>(E6/D6)*G6</f>
        <v>5026.5482457436647</v>
      </c>
      <c r="J6" s="4">
        <v>26.385724906858822</v>
      </c>
      <c r="K6" s="4">
        <f>(2*H6/G6+E6/D6+B6/A6)*J6</f>
        <v>4.4855732341659982</v>
      </c>
      <c r="M6" s="1">
        <v>43</v>
      </c>
      <c r="N6" s="10">
        <f>(M6-J6)/M6</f>
        <v>0.38637849053816692</v>
      </c>
    </row>
    <row r="8" spans="1:14" x14ac:dyDescent="0.3">
      <c r="A8" s="8" t="s">
        <v>30</v>
      </c>
    </row>
    <row r="9" spans="1:14" x14ac:dyDescent="0.3">
      <c r="A9" s="1" t="s">
        <v>27</v>
      </c>
      <c r="B9" s="1" t="s">
        <v>28</v>
      </c>
      <c r="D9" s="1" t="s">
        <v>6</v>
      </c>
      <c r="E9" s="6" t="s">
        <v>24</v>
      </c>
      <c r="F9" s="1" t="s">
        <v>25</v>
      </c>
      <c r="H9" s="9" t="s">
        <v>29</v>
      </c>
      <c r="I9" s="9" t="s">
        <v>23</v>
      </c>
      <c r="K9" s="1" t="s">
        <v>26</v>
      </c>
      <c r="L9" s="9" t="s">
        <v>21</v>
      </c>
    </row>
    <row r="10" spans="1:14" x14ac:dyDescent="0.3">
      <c r="A10" s="1">
        <v>230</v>
      </c>
      <c r="B10" s="1">
        <v>2.2999999999999998</v>
      </c>
      <c r="D10" s="1">
        <v>7023.3720000000003</v>
      </c>
      <c r="E10" s="6">
        <v>167.268</v>
      </c>
      <c r="F10" s="1">
        <f>E10*3</f>
        <v>501.80399999999997</v>
      </c>
      <c r="H10" s="9">
        <f>A10/D10*1000</f>
        <v>32.747802622444034</v>
      </c>
      <c r="I10" s="9">
        <f>(B10/A10+F10/D10)*H10</f>
        <v>2.6672342497525272</v>
      </c>
      <c r="K10" s="1">
        <v>43</v>
      </c>
      <c r="L10" s="11">
        <f>(K10-H10)/K10</f>
        <v>0.23842319482688293</v>
      </c>
    </row>
    <row r="12" spans="1:14" x14ac:dyDescent="0.3">
      <c r="A12" s="1" t="s">
        <v>12</v>
      </c>
      <c r="B12" s="1" t="s">
        <v>31</v>
      </c>
      <c r="D12" s="1" t="s">
        <v>33</v>
      </c>
      <c r="E12" s="1" t="s">
        <v>32</v>
      </c>
      <c r="G12" s="1" t="s">
        <v>4</v>
      </c>
      <c r="H12" s="1" t="s">
        <v>34</v>
      </c>
      <c r="J12" s="4" t="s">
        <v>8</v>
      </c>
      <c r="K12" s="4" t="s">
        <v>20</v>
      </c>
      <c r="M12" s="1" t="s">
        <v>26</v>
      </c>
      <c r="N12" s="4" t="s">
        <v>21</v>
      </c>
    </row>
    <row r="13" spans="1:14" x14ac:dyDescent="0.3">
      <c r="A13" s="1">
        <f>1</f>
        <v>1</v>
      </c>
      <c r="B13" s="1">
        <f>A13*0.05</f>
        <v>0.05</v>
      </c>
      <c r="D13" s="1">
        <v>4.6000000000000034E-5</v>
      </c>
      <c r="E13" s="1">
        <f>2*10^-6</f>
        <v>1.9999999999999999E-6</v>
      </c>
      <c r="G13" s="1">
        <v>136590.98493868689</v>
      </c>
      <c r="H13" s="1">
        <f>(E13/D13)*G13</f>
        <v>5938.738475595077</v>
      </c>
      <c r="J13" s="4">
        <v>26.385724906858822</v>
      </c>
      <c r="K13" s="4">
        <f>(2*H13/G13+E13/D13+B13/A13)*J13</f>
        <v>4.7609025375419156</v>
      </c>
      <c r="M13" s="1">
        <v>43</v>
      </c>
      <c r="N13" s="10">
        <f>(M13-J13)/M13</f>
        <v>0.38637849053816692</v>
      </c>
    </row>
    <row r="22" spans="5:5" x14ac:dyDescent="0.3">
      <c r="E2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0A54-13A3-492C-882B-8C85E5EEBC72}">
  <dimension ref="A1:X32"/>
  <sheetViews>
    <sheetView topLeftCell="B1" zoomScale="85" workbookViewId="0">
      <selection activeCell="W5" sqref="W5"/>
    </sheetView>
  </sheetViews>
  <sheetFormatPr defaultRowHeight="14.4" x14ac:dyDescent="0.3"/>
  <cols>
    <col min="1" max="2" width="10.33203125" customWidth="1"/>
    <col min="14" max="15" width="10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N1" t="s">
        <v>0</v>
      </c>
      <c r="O1" t="s">
        <v>4</v>
      </c>
    </row>
    <row r="2" spans="1:24" x14ac:dyDescent="0.3">
      <c r="A2">
        <f>832*10^(-6)</f>
        <v>8.3199999999999995E-4</v>
      </c>
      <c r="B2">
        <v>-35.6</v>
      </c>
      <c r="C2">
        <f>ABS(Table1[[#This Row],[V]])</f>
        <v>35.6</v>
      </c>
      <c r="D2">
        <f>LOG(Table1[[#This Row],[ABS (V)]])</f>
        <v>1.5514499979728751</v>
      </c>
      <c r="N2">
        <f>Table1[[#This Row],[T]]-A4</f>
        <v>3.9999999999999996E-5</v>
      </c>
      <c r="O2">
        <f>2*PI()/Table2[[#This Row],[T]]</f>
        <v>157079.63267948967</v>
      </c>
    </row>
    <row r="3" spans="1:24" x14ac:dyDescent="0.3">
      <c r="A3">
        <f>812*10^(-6)</f>
        <v>8.12E-4</v>
      </c>
      <c r="B3">
        <v>28.8</v>
      </c>
      <c r="C3">
        <f>ABS(Table1[[#This Row],[V]])</f>
        <v>28.8</v>
      </c>
      <c r="D3">
        <f>LOG(Table1[[#This Row],[ABS (V)]])</f>
        <v>1.4593924877592308</v>
      </c>
      <c r="N3">
        <f>Table1[[#This Row],[T]]-A5</f>
        <v>4.2000000000000045E-5</v>
      </c>
      <c r="O3">
        <f>2*PI()/Table2[[#This Row],[T]]</f>
        <v>149599.65017094236</v>
      </c>
    </row>
    <row r="4" spans="1:24" x14ac:dyDescent="0.3">
      <c r="A4">
        <v>7.9199999999999995E-4</v>
      </c>
      <c r="B4">
        <v>-21.6</v>
      </c>
      <c r="C4">
        <f>ABS(Table1[[#This Row],[V]])</f>
        <v>21.6</v>
      </c>
      <c r="D4">
        <f>LOG(Table1[[#This Row],[ABS (V)]])</f>
        <v>1.3344537511509309</v>
      </c>
      <c r="F4" s="1" t="s">
        <v>5</v>
      </c>
      <c r="G4" s="1" t="s">
        <v>6</v>
      </c>
      <c r="H4" s="1" t="s">
        <v>7</v>
      </c>
      <c r="J4" t="s">
        <v>14</v>
      </c>
      <c r="N4">
        <f>Table1[[#This Row],[T]]-A6</f>
        <v>4.5999999999999925E-5</v>
      </c>
      <c r="O4">
        <f>2*PI()/Table2[[#This Row],[T]]</f>
        <v>136590.98493868689</v>
      </c>
      <c r="Q4" s="1" t="s">
        <v>12</v>
      </c>
      <c r="R4" s="1" t="s">
        <v>4</v>
      </c>
      <c r="S4" s="4" t="s">
        <v>8</v>
      </c>
      <c r="T4" s="1" t="s">
        <v>20</v>
      </c>
      <c r="V4" s="1" t="s">
        <v>17</v>
      </c>
      <c r="W4" s="1" t="s">
        <v>18</v>
      </c>
      <c r="X4" s="1" t="s">
        <v>19</v>
      </c>
    </row>
    <row r="5" spans="1:24" x14ac:dyDescent="0.3">
      <c r="A5">
        <v>7.6999999999999996E-4</v>
      </c>
      <c r="B5">
        <v>19.600000000000001</v>
      </c>
      <c r="C5">
        <f>ABS(Table1[[#This Row],[V]])</f>
        <v>19.600000000000001</v>
      </c>
      <c r="D5">
        <f>LOG(Table1[[#This Row],[ABS (V)]])</f>
        <v>1.2922560713564761</v>
      </c>
      <c r="F5" s="1">
        <v>216</v>
      </c>
      <c r="G5" s="1">
        <f>3041.4*2</f>
        <v>6082.8</v>
      </c>
      <c r="H5" s="1">
        <f>F5/G5*1000</f>
        <v>35.509962517261791</v>
      </c>
      <c r="J5">
        <v>-3041.4</v>
      </c>
      <c r="N5">
        <f>Table1[[#This Row],[T]]-A7</f>
        <v>4.3999999999999985E-5</v>
      </c>
      <c r="O5">
        <f>2*PI()/Table2[[#This Row],[T]]</f>
        <v>142799.66607226338</v>
      </c>
      <c r="Q5" s="1">
        <v>2.4</v>
      </c>
      <c r="R5" s="1">
        <v>125663.70614359167</v>
      </c>
      <c r="S5" s="4">
        <f>1/(R5^2*Q5)*10^12</f>
        <v>26.385724906858822</v>
      </c>
      <c r="T5" s="1">
        <f>(2*W5/R5+X5/Q5)*S5</f>
        <v>3.8322124269485407</v>
      </c>
      <c r="V5" s="1">
        <f>2*10^-6</f>
        <v>1.9999999999999999E-6</v>
      </c>
      <c r="W5" s="1">
        <f>(V5/N3)*R5</f>
        <v>5983.986006837692</v>
      </c>
      <c r="X5" s="1">
        <f>5/100*Q5</f>
        <v>0.12</v>
      </c>
    </row>
    <row r="6" spans="1:24" x14ac:dyDescent="0.3">
      <c r="A6">
        <v>7.4600000000000003E-4</v>
      </c>
      <c r="B6">
        <v>-18</v>
      </c>
      <c r="C6">
        <f>ABS(Table1[[#This Row],[V]])</f>
        <v>18</v>
      </c>
      <c r="D6">
        <f>LOG(Table1[[#This Row],[ABS (V)]])</f>
        <v>1.255272505103306</v>
      </c>
      <c r="F6">
        <f>F5*1/100</f>
        <v>2.16</v>
      </c>
      <c r="N6">
        <f>Table1[[#This Row],[T]]-A8</f>
        <v>3.8000000000000056E-5</v>
      </c>
      <c r="O6">
        <f>2*PI()/Table2[[#This Row],[T]]</f>
        <v>165346.98176788361</v>
      </c>
    </row>
    <row r="7" spans="1:24" x14ac:dyDescent="0.3">
      <c r="A7">
        <v>7.2599999999999997E-4</v>
      </c>
      <c r="B7">
        <v>16.8</v>
      </c>
      <c r="C7">
        <f>ABS(Table1[[#This Row],[V]])</f>
        <v>16.8</v>
      </c>
      <c r="D7">
        <f>LOG(Table1[[#This Row],[ABS (V)]])</f>
        <v>1.2253092817258628</v>
      </c>
      <c r="N7">
        <f>Table1[[#This Row],[T]]-A9</f>
        <v>3.9999999999999996E-5</v>
      </c>
      <c r="O7">
        <f>2*PI()/Table2[[#This Row],[T]]</f>
        <v>157079.63267948967</v>
      </c>
      <c r="R7" s="1" t="s">
        <v>13</v>
      </c>
      <c r="S7" s="4" t="s">
        <v>21</v>
      </c>
    </row>
    <row r="8" spans="1:24" x14ac:dyDescent="0.3">
      <c r="A8">
        <v>7.0799999999999997E-4</v>
      </c>
      <c r="B8">
        <v>-14.4</v>
      </c>
      <c r="C8">
        <f>ABS(Table1[[#This Row],[V]])</f>
        <v>14.4</v>
      </c>
      <c r="D8">
        <f>LOG(Table1[[#This Row],[ABS (V)]])</f>
        <v>1.1583624920952498</v>
      </c>
      <c r="N8">
        <f>Table1[[#This Row],[T]]-A10</f>
        <v>4.3999999999999985E-5</v>
      </c>
      <c r="O8">
        <f>2*PI()/Table2[[#This Row],[T]]</f>
        <v>142799.66607226338</v>
      </c>
      <c r="R8" s="1">
        <v>42</v>
      </c>
      <c r="S8" s="4">
        <f>ABS(S5-R8)/R8*100</f>
        <v>37.176845459859948</v>
      </c>
    </row>
    <row r="9" spans="1:24" x14ac:dyDescent="0.3">
      <c r="A9">
        <v>6.8599999999999998E-4</v>
      </c>
      <c r="B9">
        <v>10.4</v>
      </c>
      <c r="C9">
        <f>ABS(Table1[[#This Row],[V]])</f>
        <v>10.4</v>
      </c>
      <c r="D9">
        <f>LOG(Table1[[#This Row],[ABS (V)]])</f>
        <v>1.0170333392987803</v>
      </c>
      <c r="N9">
        <f>Table1[[#This Row],[T]]-A11</f>
        <v>4.3999999999999985E-5</v>
      </c>
      <c r="O9">
        <f>2*PI()/Table2[[#This Row],[T]]</f>
        <v>142799.66607226338</v>
      </c>
    </row>
    <row r="10" spans="1:24" x14ac:dyDescent="0.3">
      <c r="A10">
        <v>6.6399999999999999E-4</v>
      </c>
      <c r="B10">
        <v>-8.8000000000000007</v>
      </c>
      <c r="C10">
        <f>ABS(Table1[[#This Row],[V]])</f>
        <v>8.8000000000000007</v>
      </c>
      <c r="D10">
        <f>LOG(Table1[[#This Row],[ABS (V)]])</f>
        <v>0.94448267215016868</v>
      </c>
      <c r="N10">
        <f>Table1[[#This Row],[T]]-A12</f>
        <v>3.9999999999999996E-5</v>
      </c>
      <c r="O10">
        <f>2*PI()/Table2[[#This Row],[T]]</f>
        <v>157079.63267948967</v>
      </c>
    </row>
    <row r="11" spans="1:24" x14ac:dyDescent="0.3">
      <c r="A11">
        <v>6.4199999999999999E-4</v>
      </c>
      <c r="B11">
        <v>8.4</v>
      </c>
      <c r="C11">
        <f>ABS(Table1[[#This Row],[V]])</f>
        <v>8.4</v>
      </c>
      <c r="D11">
        <f>LOG(Table1[[#This Row],[ABS (V)]])</f>
        <v>0.9242792860618817</v>
      </c>
      <c r="N11">
        <f>Table1[[#This Row],[T]]-A13</f>
        <v>3.7999999999999948E-5</v>
      </c>
      <c r="O11">
        <f>2*PI()/Table2[[#This Row],[T]]</f>
        <v>165346.98176788408</v>
      </c>
    </row>
    <row r="12" spans="1:24" x14ac:dyDescent="0.3">
      <c r="A12">
        <v>6.2399999999999999E-4</v>
      </c>
      <c r="B12">
        <v>-7.6</v>
      </c>
      <c r="C12">
        <f>ABS(Table1[[#This Row],[V]])</f>
        <v>7.6</v>
      </c>
      <c r="D12">
        <f>LOG(Table1[[#This Row],[ABS (V)]])</f>
        <v>0.88081359228079137</v>
      </c>
      <c r="N12">
        <f>Table1[[#This Row],[T]]-A14</f>
        <v>4.1999999999999937E-5</v>
      </c>
      <c r="O12">
        <f>2*PI()/Table2[[#This Row],[T]]</f>
        <v>149599.65017094277</v>
      </c>
    </row>
    <row r="13" spans="1:24" x14ac:dyDescent="0.3">
      <c r="A13" s="3">
        <v>6.0400000000000004E-4</v>
      </c>
      <c r="B13">
        <v>6.8</v>
      </c>
      <c r="C13">
        <f>ABS(Table1[[#This Row],[V]])</f>
        <v>6.8</v>
      </c>
      <c r="D13">
        <f>LOG(Table1[[#This Row],[ABS (V)]])</f>
        <v>0.83250891270623628</v>
      </c>
      <c r="N13">
        <f>Table1[[#This Row],[T]]-A15</f>
        <v>4.2000000000000045E-5</v>
      </c>
      <c r="O13">
        <f>2*PI()/Table2[[#This Row],[T]]</f>
        <v>149599.65017094236</v>
      </c>
    </row>
    <row r="14" spans="1:24" x14ac:dyDescent="0.3">
      <c r="A14">
        <v>5.8200000000000005E-4</v>
      </c>
      <c r="B14">
        <v>-5.2</v>
      </c>
      <c r="C14">
        <f>ABS(Table1[[#This Row],[V]])</f>
        <v>5.2</v>
      </c>
      <c r="D14">
        <f>LOG(Table1[[#This Row],[ABS (V)]])</f>
        <v>0.71600334363479923</v>
      </c>
      <c r="N14">
        <f>Table1[[#This Row],[T]]-A16</f>
        <v>4.4000000000000094E-5</v>
      </c>
      <c r="O14">
        <f>2*PI()/Table2[[#This Row],[T]]</f>
        <v>142799.66607226303</v>
      </c>
    </row>
    <row r="15" spans="1:24" x14ac:dyDescent="0.3">
      <c r="A15">
        <v>5.62E-4</v>
      </c>
      <c r="B15">
        <v>4</v>
      </c>
      <c r="C15">
        <f>ABS(Table1[[#This Row],[V]])</f>
        <v>4</v>
      </c>
      <c r="D15">
        <f>LOG(Table1[[#This Row],[ABS (V)]])</f>
        <v>0.6020599913279624</v>
      </c>
      <c r="N15">
        <f>Table1[[#This Row],[T]]-A17</f>
        <v>4.6000000000000034E-5</v>
      </c>
      <c r="O15">
        <f>2*PI()/Table2[[#This Row],[T]]</f>
        <v>136590.98493868657</v>
      </c>
    </row>
    <row r="16" spans="1:24" x14ac:dyDescent="0.3">
      <c r="A16">
        <v>5.3799999999999996E-4</v>
      </c>
      <c r="B16">
        <v>-4</v>
      </c>
      <c r="C16">
        <f>ABS(Table1[[#This Row],[V]])</f>
        <v>4</v>
      </c>
      <c r="D16">
        <f>LOG(Table1[[#This Row],[ABS (V)]])</f>
        <v>0.6020599913279624</v>
      </c>
      <c r="N16">
        <f>Table1[[#This Row],[T]]-A18</f>
        <v>3.9999999999999996E-5</v>
      </c>
      <c r="O16">
        <f>2*PI()/Table2[[#This Row],[T]]</f>
        <v>157079.63267948967</v>
      </c>
    </row>
    <row r="17" spans="1:15" x14ac:dyDescent="0.3">
      <c r="A17">
        <v>5.1599999999999997E-4</v>
      </c>
      <c r="B17">
        <v>4</v>
      </c>
      <c r="C17">
        <f>ABS(Table1[[#This Row],[V]])</f>
        <v>4</v>
      </c>
      <c r="D17">
        <f>LOG(Table1[[#This Row],[ABS (V)]])</f>
        <v>0.6020599913279624</v>
      </c>
      <c r="N17">
        <f>Table1[[#This Row],[T]]-A19</f>
        <v>3.9999999999999942E-5</v>
      </c>
      <c r="O17">
        <f>2*PI()/Table2[[#This Row],[T]]</f>
        <v>157079.63267948988</v>
      </c>
    </row>
    <row r="18" spans="1:15" x14ac:dyDescent="0.3">
      <c r="A18">
        <v>4.9799999999999996E-4</v>
      </c>
      <c r="B18">
        <v>-3.2</v>
      </c>
      <c r="C18">
        <f>ABS(Table1[[#This Row],[V]])</f>
        <v>3.2</v>
      </c>
      <c r="D18">
        <f>LOG(Table1[[#This Row],[ABS (V)]])</f>
        <v>0.50514997831990605</v>
      </c>
      <c r="N18">
        <f>Table1[[#This Row],[T]]-A20</f>
        <v>4.1999999999999937E-5</v>
      </c>
      <c r="O18">
        <f>2*PI()/Table2[[#This Row],[T]]</f>
        <v>149599.65017094277</v>
      </c>
    </row>
    <row r="19" spans="1:15" x14ac:dyDescent="0.3">
      <c r="A19">
        <v>4.7600000000000002E-4</v>
      </c>
      <c r="B19">
        <v>2.8</v>
      </c>
      <c r="C19">
        <f>ABS(Table1[[#This Row],[V]])</f>
        <v>2.8</v>
      </c>
      <c r="D19">
        <f>LOG(Table1[[#This Row],[ABS (V)]])</f>
        <v>0.44715803134221921</v>
      </c>
      <c r="N19">
        <f>Table1[[#This Row],[T]]-A21</f>
        <v>3.6000000000000008E-5</v>
      </c>
      <c r="O19">
        <f>2*PI()/Table2[[#This Row],[T]]</f>
        <v>174532.92519943291</v>
      </c>
    </row>
    <row r="20" spans="1:15" x14ac:dyDescent="0.3">
      <c r="A20">
        <v>4.5600000000000003E-4</v>
      </c>
      <c r="B20">
        <v>-2</v>
      </c>
      <c r="C20">
        <f>ABS(Table1[[#This Row],[V]])</f>
        <v>2</v>
      </c>
      <c r="D20">
        <f>LOG(Table1[[#This Row],[ABS (V)]])</f>
        <v>0.3010299956639812</v>
      </c>
      <c r="N20">
        <f>Table1[[#This Row],[T]]-A22</f>
        <v>4.0000000000000051E-5</v>
      </c>
      <c r="O20">
        <f>2*PI()/Table2[[#This Row],[T]]</f>
        <v>157079.63267948947</v>
      </c>
    </row>
    <row r="21" spans="1:15" x14ac:dyDescent="0.3">
      <c r="A21">
        <v>4.4000000000000002E-4</v>
      </c>
      <c r="B21">
        <v>1.6</v>
      </c>
      <c r="C21">
        <f>ABS(Table1[[#This Row],[V]])</f>
        <v>1.6</v>
      </c>
      <c r="D21">
        <f>LOG(Table1[[#This Row],[ABS (V)]])</f>
        <v>0.20411998265592479</v>
      </c>
      <c r="N21">
        <f>Table1[[#This Row],[T]]-A23</f>
        <v>5.0000000000000023E-5</v>
      </c>
      <c r="O21">
        <f>2*PI()/Table2[[#This Row],[T]]</f>
        <v>125663.70614359167</v>
      </c>
    </row>
    <row r="22" spans="1:15" x14ac:dyDescent="0.3">
      <c r="A22">
        <v>4.1599999999999997E-4</v>
      </c>
      <c r="B22">
        <v>-1.6</v>
      </c>
      <c r="C22">
        <f>ABS(Table1[[#This Row],[V]])</f>
        <v>1.6</v>
      </c>
      <c r="D22">
        <f>LOG(Table1[[#This Row],[ABS (V)]])</f>
        <v>0.20411998265592479</v>
      </c>
      <c r="N22">
        <f>Table1[[#This Row],[T]]-A24</f>
        <v>4.3999999999999985E-5</v>
      </c>
      <c r="O22">
        <f>2*PI()/Table2[[#This Row],[T]]</f>
        <v>142799.66607226338</v>
      </c>
    </row>
    <row r="23" spans="1:15" x14ac:dyDescent="0.3">
      <c r="A23">
        <v>3.8999999999999999E-4</v>
      </c>
      <c r="B23">
        <v>1.6</v>
      </c>
      <c r="C23">
        <f>ABS(Table1[[#This Row],[V]])</f>
        <v>1.6</v>
      </c>
      <c r="D23">
        <f>LOG(Table1[[#This Row],[ABS (V)]])</f>
        <v>0.20411998265592479</v>
      </c>
      <c r="N23">
        <f>Table1[[#This Row],[T]]-A25</f>
        <v>3.8999999999999999E-4</v>
      </c>
      <c r="O23">
        <f>2*PI()/Table2[[#This Row],[T]]</f>
        <v>16110.731556870734</v>
      </c>
    </row>
    <row r="24" spans="1:15" x14ac:dyDescent="0.3">
      <c r="A24">
        <v>3.7199999999999999E-4</v>
      </c>
      <c r="B24">
        <v>-1.6</v>
      </c>
      <c r="C24">
        <f>ABS(Table1[[#This Row],[V]])</f>
        <v>1.6</v>
      </c>
      <c r="D24">
        <f>LOG(Table1[[#This Row],[ABS (V)]])</f>
        <v>0.20411998265592479</v>
      </c>
      <c r="N24">
        <f>Table1[[#This Row],[T]]-A26</f>
        <v>3.7199999999999999E-4</v>
      </c>
      <c r="O24">
        <f>2*PI()/Table2[[#This Row],[T]]</f>
        <v>16890.283083816092</v>
      </c>
    </row>
    <row r="25" spans="1:15" x14ac:dyDescent="0.3">
      <c r="C25">
        <f>ABS(Table1[[#This Row],[V]])</f>
        <v>0</v>
      </c>
      <c r="D25" t="e">
        <f>LOG(Table1[[#This Row],[ABS (V)]])</f>
        <v>#NUM!</v>
      </c>
      <c r="N25">
        <f>Table1[[#This Row],[T]]-A27</f>
        <v>0</v>
      </c>
      <c r="O25" t="e">
        <f>2*PI()/Table2[[#This Row],[T]]</f>
        <v>#DIV/0!</v>
      </c>
    </row>
    <row r="26" spans="1:15" x14ac:dyDescent="0.3">
      <c r="C26">
        <f>ABS(Table1[[#This Row],[V]])</f>
        <v>0</v>
      </c>
      <c r="D26" t="e">
        <f>LOG(Table1[[#This Row],[ABS (V)]])</f>
        <v>#NUM!</v>
      </c>
      <c r="N26">
        <f>Table1[[#This Row],[T]]-A28</f>
        <v>0</v>
      </c>
      <c r="O26" t="e">
        <f>2*PI()/Table2[[#This Row],[T]]</f>
        <v>#DIV/0!</v>
      </c>
    </row>
    <row r="27" spans="1:15" x14ac:dyDescent="0.3">
      <c r="C27">
        <f>ABS(Table1[[#This Row],[V]])</f>
        <v>0</v>
      </c>
      <c r="D27" t="e">
        <f>LOG(Table1[[#This Row],[ABS (V)]])</f>
        <v>#NUM!</v>
      </c>
      <c r="N27">
        <f>Table1[[#This Row],[T]]-A29</f>
        <v>0</v>
      </c>
      <c r="O27" t="e">
        <f>2*PI()/Table2[[#This Row],[T]]</f>
        <v>#DIV/0!</v>
      </c>
    </row>
    <row r="28" spans="1:15" x14ac:dyDescent="0.3">
      <c r="C28">
        <f>ABS(Table1[[#This Row],[V]])</f>
        <v>0</v>
      </c>
      <c r="D28" t="e">
        <f>LOG(Table1[[#This Row],[ABS (V)]])</f>
        <v>#NUM!</v>
      </c>
      <c r="N28">
        <f>Table1[[#This Row],[T]]-A30</f>
        <v>0</v>
      </c>
      <c r="O28" t="e">
        <f>2*PI()/Table2[[#This Row],[T]]</f>
        <v>#DIV/0!</v>
      </c>
    </row>
    <row r="29" spans="1:15" x14ac:dyDescent="0.3">
      <c r="C29">
        <f>ABS(Table1[[#This Row],[V]])</f>
        <v>0</v>
      </c>
      <c r="D29" t="e">
        <f>LOG(Table1[[#This Row],[ABS (V)]])</f>
        <v>#NUM!</v>
      </c>
      <c r="N29">
        <f>Table1[[#This Row],[T]]-A31</f>
        <v>0</v>
      </c>
      <c r="O29" t="e">
        <f>2*PI()/Table2[[#This Row],[T]]</f>
        <v>#DIV/0!</v>
      </c>
    </row>
    <row r="30" spans="1:15" x14ac:dyDescent="0.3">
      <c r="C30">
        <f>ABS(Table1[[#This Row],[V]])</f>
        <v>0</v>
      </c>
      <c r="D30" t="e">
        <f>LOG(Table1[[#This Row],[ABS (V)]])</f>
        <v>#NUM!</v>
      </c>
      <c r="N30">
        <f>Table1[[#This Row],[T]]-A32</f>
        <v>0</v>
      </c>
      <c r="O30" t="e">
        <f>2*PI()/Table2[[#This Row],[T]]</f>
        <v>#DIV/0!</v>
      </c>
    </row>
    <row r="31" spans="1:15" x14ac:dyDescent="0.3">
      <c r="C31">
        <f>ABS(Table1[[#This Row],[V]])</f>
        <v>0</v>
      </c>
      <c r="D31" t="e">
        <f>LOG(Table1[[#This Row],[ABS (V)]])</f>
        <v>#NUM!</v>
      </c>
      <c r="N31">
        <f>Table1[[#This Row],[T]]-A33</f>
        <v>0</v>
      </c>
      <c r="O31" t="e">
        <f>2*PI()/Table2[[#This Row],[T]]</f>
        <v>#DIV/0!</v>
      </c>
    </row>
    <row r="32" spans="1:15" x14ac:dyDescent="0.3">
      <c r="N32" t="e">
        <f>Table1[[#This Row],[T]]-A34</f>
        <v>#VALUE!</v>
      </c>
      <c r="O32" t="e">
        <f>2*PI()/Table2[[#This Row],[T]]</f>
        <v>#VALUE!</v>
      </c>
    </row>
  </sheetData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df8b60f2dc3be3d33ea09aeb8f6dcdfa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20a5d5cd272d745c84963488382a52fd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15C15A-57D7-4955-85F0-99981FE33ACB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1343963-c43f-42a4-b0bc-b203e64410f4"/>
  </ds:schemaRefs>
</ds:datastoreItem>
</file>

<file path=customXml/itemProps2.xml><?xml version="1.0" encoding="utf-8"?>
<ds:datastoreItem xmlns:ds="http://schemas.openxmlformats.org/officeDocument/2006/customXml" ds:itemID="{1DB0549A-B4F5-45DC-9B9B-3230B0448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43963-c43f-42a4-b0bc-b203e6441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A7B56A-0F8B-4756-B43A-47F62DDAFD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Dati_1</vt:lpstr>
      <vt:lpstr>Dati_2</vt:lpstr>
      <vt:lpstr>L2</vt:lpstr>
      <vt:lpstr>Risonanza</vt:lpstr>
      <vt:lpstr>risultati</vt:lpstr>
      <vt:lpstr>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MIROLO MANUELE [SM2001968]</dc:creator>
  <cp:keywords/>
  <dc:description/>
  <cp:lastModifiedBy>MIROLO MANUELE [SM2001968]</cp:lastModifiedBy>
  <cp:revision/>
  <dcterms:created xsi:type="dcterms:W3CDTF">2025-11-17T07:14:58Z</dcterms:created>
  <dcterms:modified xsi:type="dcterms:W3CDTF">2025-11-23T11:05:31Z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