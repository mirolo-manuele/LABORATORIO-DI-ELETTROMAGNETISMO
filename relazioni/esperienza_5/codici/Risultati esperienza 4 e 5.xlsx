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5\"/>
    </mc:Choice>
  </mc:AlternateContent>
  <xr:revisionPtr revIDLastSave="0" documentId="8_{5077F3CB-1691-479F-A20F-E3EC23498667}" xr6:coauthVersionLast="47" xr6:coauthVersionMax="47" xr10:uidLastSave="{00000000-0000-0000-0000-000000000000}"/>
  <bookViews>
    <workbookView xWindow="-108" yWindow="-108" windowWidth="23256" windowHeight="12456" activeTab="1" xr2:uid="{31CF8646-C98F-4C2B-9C1A-52B4A5DB6421}"/>
  </bookViews>
  <sheets>
    <sheet name="esperienza 4" sheetId="1" r:id="rId1"/>
    <sheet name="esperienza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" l="1"/>
  <c r="H17" i="2"/>
  <c r="A17" i="2"/>
  <c r="F3" i="2"/>
  <c r="N13" i="2"/>
  <c r="E13" i="2"/>
  <c r="H13" i="2" s="1"/>
  <c r="A13" i="2"/>
  <c r="B13" i="2" s="1"/>
  <c r="L10" i="2"/>
  <c r="I10" i="2"/>
  <c r="H10" i="2"/>
  <c r="F10" i="2"/>
  <c r="N6" i="2"/>
  <c r="E6" i="2"/>
  <c r="H6" i="2" s="1"/>
  <c r="K6" i="2" s="1"/>
  <c r="B6" i="2"/>
  <c r="I3" i="2"/>
  <c r="C3" i="1"/>
  <c r="A3" i="1" s="1"/>
  <c r="A7" i="1"/>
  <c r="B7" i="1"/>
  <c r="C7" i="1"/>
  <c r="D7" i="1"/>
  <c r="F7" i="1"/>
  <c r="G7" i="1"/>
  <c r="H7" i="1"/>
  <c r="I7" i="1"/>
  <c r="C11" i="1"/>
  <c r="A11" i="1" s="1"/>
  <c r="A15" i="1"/>
  <c r="B15" i="1"/>
  <c r="C15" i="1"/>
  <c r="D15" i="1"/>
  <c r="F15" i="1"/>
  <c r="G15" i="1"/>
  <c r="H15" i="1" s="1"/>
  <c r="K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Manuele Mirolo</author>
  </authors>
  <commentList>
    <comment ref="A6" authorId="0" shapeId="0" xr:uid="{9FD94E10-67F8-4C54-8A74-220390080A4E}">
      <text>
        <r>
          <rPr>
            <b/>
            <sz val="9"/>
            <color indexed="81"/>
            <rFont val="Tahoma"/>
            <family val="2"/>
          </rPr>
          <t>Manuele Mirolo:</t>
        </r>
        <r>
          <rPr>
            <sz val="9"/>
            <color indexed="81"/>
            <rFont val="Tahoma"/>
            <family val="2"/>
          </rPr>
          <t xml:space="preserve">
con fit minimizzando chi quadro</t>
        </r>
      </text>
    </comment>
    <comment ref="F6" authorId="0" shapeId="0" xr:uid="{1AED3DD6-E516-43B6-AA77-9918C02984A0}">
      <text>
        <r>
          <rPr>
            <b/>
            <sz val="9"/>
            <color indexed="81"/>
            <rFont val="Tahoma"/>
            <family val="2"/>
          </rPr>
          <t>Manuele Mirolo:</t>
        </r>
        <r>
          <rPr>
            <sz val="9"/>
            <color indexed="81"/>
            <rFont val="Tahoma"/>
            <family val="2"/>
          </rPr>
          <t xml:space="preserve">
con fit minimizzando chi quadro</t>
        </r>
      </text>
    </comment>
    <comment ref="A14" authorId="0" shapeId="0" xr:uid="{64734EBF-AE52-4895-BFF1-6E39C9F6AFA0}">
      <text>
        <r>
          <rPr>
            <b/>
            <sz val="9"/>
            <color indexed="81"/>
            <rFont val="Tahoma"/>
            <family val="2"/>
          </rPr>
          <t>Manuele Mirolo:</t>
        </r>
        <r>
          <rPr>
            <sz val="9"/>
            <color indexed="81"/>
            <rFont val="Tahoma"/>
            <family val="2"/>
          </rPr>
          <t xml:space="preserve">
con fit minimizzando chi quadro</t>
        </r>
      </text>
    </comment>
    <comment ref="F14" authorId="0" shapeId="0" xr:uid="{D22553C2-28C8-412B-ACA4-9DC607782184}">
      <text>
        <r>
          <rPr>
            <b/>
            <sz val="9"/>
            <color indexed="81"/>
            <rFont val="Tahoma"/>
            <family val="2"/>
          </rPr>
          <t>Manuele Mirolo:</t>
        </r>
        <r>
          <rPr>
            <sz val="9"/>
            <color indexed="81"/>
            <rFont val="Tahoma"/>
            <family val="2"/>
          </rPr>
          <t xml:space="preserve">
con fit minimizzando chi quadro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Manuele Mirolo</author>
  </authors>
  <commentList>
    <comment ref="D2" authorId="0" shapeId="0" xr:uid="{4161F3E2-BF19-4943-95A0-52802CAC0F4D}">
      <text>
        <r>
          <rPr>
            <b/>
            <sz val="9"/>
            <color indexed="81"/>
            <rFont val="Tahoma"/>
            <family val="2"/>
          </rPr>
          <t>Manuele Mirolo:</t>
        </r>
        <r>
          <rPr>
            <sz val="9"/>
            <color indexed="81"/>
            <rFont val="Tahoma"/>
            <family val="2"/>
          </rPr>
          <t xml:space="preserve">
non so che unità di misura abbia, comunque peso non ci serva
</t>
        </r>
      </text>
    </comment>
    <comment ref="F17" authorId="0" shapeId="0" xr:uid="{993D464A-2D94-4306-91E4-E57BD12E8D24}">
      <text>
        <r>
          <rPr>
            <b/>
            <sz val="9"/>
            <color indexed="81"/>
            <rFont val="Tahoma"/>
            <charset val="1"/>
          </rPr>
          <t>Manuele Mirolo:</t>
        </r>
        <r>
          <rPr>
            <sz val="9"/>
            <color indexed="81"/>
            <rFont val="Tahoma"/>
            <charset val="1"/>
          </rPr>
          <t xml:space="preserve">
senza errore perchè si ricava da equazione parabola, che non essendo un fit non ha errori</t>
        </r>
      </text>
    </comment>
    <comment ref="I17" authorId="0" shapeId="0" xr:uid="{0FB726AF-8F21-4812-9348-95EA70367992}">
      <text>
        <r>
          <rPr>
            <b/>
            <sz val="9"/>
            <color indexed="81"/>
            <rFont val="Tahoma"/>
            <charset val="1"/>
          </rPr>
          <t>Manuele Mirolo:</t>
        </r>
        <r>
          <rPr>
            <sz val="9"/>
            <color indexed="81"/>
            <rFont val="Tahoma"/>
            <charset val="1"/>
          </rPr>
          <t xml:space="preserve">
si ricava da w_0</t>
        </r>
      </text>
    </comment>
  </commentList>
</comments>
</file>

<file path=xl/sharedStrings.xml><?xml version="1.0" encoding="utf-8"?>
<sst xmlns="http://schemas.openxmlformats.org/spreadsheetml/2006/main" count="82" uniqueCount="33">
  <si>
    <t xml:space="preserve">χ² </t>
  </si>
  <si>
    <t>Δ</t>
  </si>
  <si>
    <t>σ</t>
  </si>
  <si>
    <t>RC ottenuto [Ω]</t>
  </si>
  <si>
    <t>2°fit</t>
  </si>
  <si>
    <t>1°fit</t>
  </si>
  <si>
    <t>N.B.: non ha senso in realtà minimizzare il  χ² perchè in realtà dovresti trovare il set con χ² vicino ad 1 però facciamo così perchè ha detto il marga</t>
  </si>
  <si>
    <t>C[pF]</t>
  </si>
  <si>
    <t>R[Ω]</t>
  </si>
  <si>
    <t>RC atteso</t>
  </si>
  <si>
    <t>PROVA 2</t>
  </si>
  <si>
    <t>io prenderei come dato finale quello che ha χ²  migliore giusticazione: è il miglior set di dati che rappresenta il modello</t>
  </si>
  <si>
    <t>C[pC]</t>
  </si>
  <si>
    <t>PROVA 1</t>
  </si>
  <si>
    <t>Δ[Ω]</t>
  </si>
  <si>
    <t>Γ</t>
  </si>
  <si>
    <t>L _Γ [mH]</t>
  </si>
  <si>
    <t>Err (Δ)</t>
  </si>
  <si>
    <t>L[mH] (vero)</t>
  </si>
  <si>
    <t>ε%</t>
  </si>
  <si>
    <t>C(nF)</t>
  </si>
  <si>
    <t>Δ[nF]</t>
  </si>
  <si>
    <t>T[s]</t>
  </si>
  <si>
    <t>Δ[s]</t>
  </si>
  <si>
    <t>ω</t>
  </si>
  <si>
    <t>Δ[rad/s]</t>
  </si>
  <si>
    <t>L_ω</t>
  </si>
  <si>
    <t>e_L</t>
  </si>
  <si>
    <t>RISONANZA</t>
  </si>
  <si>
    <t>Δ[V]</t>
  </si>
  <si>
    <r>
      <t>V_max</t>
    </r>
    <r>
      <rPr>
        <sz val="11"/>
        <color theme="1"/>
        <rFont val="Aptos Narrow"/>
        <family val="2"/>
      </rPr>
      <t>√2</t>
    </r>
    <r>
      <rPr>
        <sz val="11"/>
        <color theme="1"/>
        <rFont val="Aptos Narrow"/>
        <family val="2"/>
        <scheme val="minor"/>
      </rPr>
      <t xml:space="preserve"> [V]</t>
    </r>
  </si>
  <si>
    <t>V_max [V]</t>
  </si>
  <si>
    <t>ω_0 [rad/s]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</si>
</sst>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10" fontId="0" fillId="3" borderId="1" xfId="0" applyNumberFormat="1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438B-6811-439E-958A-E3436B79DB1D}">
  <dimension ref="A1:O15"/>
  <sheetViews>
    <sheetView workbookViewId="0">
      <selection activeCell="G22" sqref="G22"/>
    </sheetView>
  </sheetViews>
  <sheetFormatPr defaultRowHeight="14.4" x14ac:dyDescent="0.3"/>
  <sheetData>
    <row r="1" spans="1:15" x14ac:dyDescent="0.3">
      <c r="A1" s="3" t="s">
        <v>13</v>
      </c>
    </row>
    <row r="2" spans="1:15" x14ac:dyDescent="0.3">
      <c r="A2" s="1" t="s">
        <v>9</v>
      </c>
      <c r="B2" s="1" t="s">
        <v>8</v>
      </c>
      <c r="C2" s="1" t="s">
        <v>12</v>
      </c>
    </row>
    <row r="3" spans="1:15" x14ac:dyDescent="0.3">
      <c r="A3" s="1">
        <f>B3*C3</f>
        <v>1.6132000000000001E-6</v>
      </c>
      <c r="B3" s="1">
        <v>4033</v>
      </c>
      <c r="C3" s="1">
        <f>400*10^(-12)</f>
        <v>4.0000000000000001E-10</v>
      </c>
    </row>
    <row r="5" spans="1:15" x14ac:dyDescent="0.3">
      <c r="A5" s="1" t="s">
        <v>5</v>
      </c>
      <c r="F5" s="1" t="s">
        <v>4</v>
      </c>
    </row>
    <row r="6" spans="1:15" x14ac:dyDescent="0.3">
      <c r="A6" s="1" t="s">
        <v>3</v>
      </c>
      <c r="B6" s="1" t="s">
        <v>2</v>
      </c>
      <c r="C6" s="1" t="s">
        <v>1</v>
      </c>
      <c r="D6" s="1" t="s">
        <v>0</v>
      </c>
      <c r="F6" s="1" t="s">
        <v>3</v>
      </c>
      <c r="G6" s="1" t="s">
        <v>2</v>
      </c>
      <c r="H6" s="1" t="s">
        <v>1</v>
      </c>
      <c r="I6" s="1" t="s">
        <v>0</v>
      </c>
    </row>
    <row r="7" spans="1:15" x14ac:dyDescent="0.3">
      <c r="A7" s="2">
        <f xml:space="preserve"> 0.000004162</f>
        <v>4.1620000000000001E-6</v>
      </c>
      <c r="B7" s="1">
        <f>0.00000001817</f>
        <v>1.817E-8</v>
      </c>
      <c r="C7" s="1">
        <f>3*B7</f>
        <v>5.4510000000000003E-8</v>
      </c>
      <c r="D7" s="1">
        <f xml:space="preserve"> 0.0396845438381394</f>
        <v>3.9684543838139401E-2</v>
      </c>
      <c r="F7" s="2">
        <f xml:space="preserve"> 0.0000201</f>
        <v>2.0100000000000001E-5</v>
      </c>
      <c r="G7" s="1">
        <f xml:space="preserve"> 0.00000002594</f>
        <v>2.5939999999999999E-8</v>
      </c>
      <c r="H7" s="1">
        <f>3*G7</f>
        <v>7.7819999999999991E-8</v>
      </c>
      <c r="I7" s="1">
        <f xml:space="preserve"> 0.0217935427433144</f>
        <v>2.1793542743314399E-2</v>
      </c>
      <c r="K7" s="11" t="s">
        <v>11</v>
      </c>
      <c r="L7" s="11"/>
      <c r="M7" s="11"/>
      <c r="N7" s="11"/>
      <c r="O7" s="11"/>
    </row>
    <row r="8" spans="1:15" x14ac:dyDescent="0.3">
      <c r="K8" s="11"/>
      <c r="L8" s="11"/>
      <c r="M8" s="11"/>
      <c r="N8" s="11"/>
      <c r="O8" s="11"/>
    </row>
    <row r="9" spans="1:15" x14ac:dyDescent="0.3">
      <c r="A9" s="3" t="s">
        <v>10</v>
      </c>
      <c r="K9" s="11"/>
      <c r="L9" s="11"/>
      <c r="M9" s="11"/>
      <c r="N9" s="11"/>
      <c r="O9" s="11"/>
    </row>
    <row r="10" spans="1:15" x14ac:dyDescent="0.3">
      <c r="A10" s="1" t="s">
        <v>9</v>
      </c>
      <c r="B10" s="1" t="s">
        <v>8</v>
      </c>
      <c r="C10" s="1" t="s">
        <v>7</v>
      </c>
    </row>
    <row r="11" spans="1:15" x14ac:dyDescent="0.3">
      <c r="A11" s="1">
        <f>B11*C11</f>
        <v>1.6132000000000001E-6</v>
      </c>
      <c r="B11" s="1">
        <v>4033</v>
      </c>
      <c r="C11" s="1">
        <f>400*10^(-12)</f>
        <v>4.0000000000000001E-10</v>
      </c>
    </row>
    <row r="12" spans="1:15" x14ac:dyDescent="0.3">
      <c r="K12" s="12" t="s">
        <v>6</v>
      </c>
      <c r="L12" s="12"/>
      <c r="M12" s="12"/>
      <c r="N12" s="12"/>
      <c r="O12" s="12"/>
    </row>
    <row r="13" spans="1:15" x14ac:dyDescent="0.3">
      <c r="A13" s="1" t="s">
        <v>5</v>
      </c>
      <c r="F13" s="1" t="s">
        <v>4</v>
      </c>
      <c r="K13" s="12"/>
      <c r="L13" s="12"/>
      <c r="M13" s="12"/>
      <c r="N13" s="12"/>
      <c r="O13" s="12"/>
    </row>
    <row r="14" spans="1:15" x14ac:dyDescent="0.3">
      <c r="A14" s="1" t="s">
        <v>3</v>
      </c>
      <c r="B14" s="1" t="s">
        <v>2</v>
      </c>
      <c r="C14" s="1" t="s">
        <v>1</v>
      </c>
      <c r="D14" s="1" t="s">
        <v>0</v>
      </c>
      <c r="F14" s="1" t="s">
        <v>3</v>
      </c>
      <c r="G14" s="1" t="s">
        <v>2</v>
      </c>
      <c r="H14" s="1" t="s">
        <v>1</v>
      </c>
      <c r="I14" s="1" t="s">
        <v>0</v>
      </c>
      <c r="K14" s="12"/>
      <c r="L14" s="12"/>
      <c r="M14" s="12"/>
      <c r="N14" s="12"/>
      <c r="O14" s="12"/>
    </row>
    <row r="15" spans="1:15" x14ac:dyDescent="0.3">
      <c r="A15" s="2">
        <f xml:space="preserve"> 0.000004157</f>
        <v>4.1570000000000002E-6</v>
      </c>
      <c r="B15" s="1">
        <f>0.00000001817</f>
        <v>1.817E-8</v>
      </c>
      <c r="C15" s="1">
        <f>3*B15</f>
        <v>5.4510000000000003E-8</v>
      </c>
      <c r="D15" s="1">
        <f xml:space="preserve"> 0.0196128722842232</f>
        <v>1.96128722842232E-2</v>
      </c>
      <c r="F15" s="2">
        <f xml:space="preserve"> 0.000004302</f>
        <v>4.3019999999999996E-6</v>
      </c>
      <c r="G15" s="1">
        <f xml:space="preserve">  0.00000001815</f>
        <v>1.815E-8</v>
      </c>
      <c r="H15" s="1">
        <f>3*G15</f>
        <v>5.4450000000000001E-8</v>
      </c>
      <c r="I15" s="1">
        <v>3.8404940846696899E-2</v>
      </c>
    </row>
  </sheetData>
  <mergeCells count="2">
    <mergeCell ref="K7:O9"/>
    <mergeCell ref="K12:O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D699-26B1-4159-B7AC-056CF1974C9A}">
  <dimension ref="A1:O17"/>
  <sheetViews>
    <sheetView tabSelected="1" topLeftCell="A3" workbookViewId="0">
      <selection activeCell="L17" sqref="L17"/>
    </sheetView>
  </sheetViews>
  <sheetFormatPr defaultRowHeight="14.4" x14ac:dyDescent="0.3"/>
  <cols>
    <col min="1" max="1" width="10.6640625" bestFit="1" customWidth="1"/>
    <col min="2" max="2" width="12.5546875" bestFit="1" customWidth="1"/>
    <col min="5" max="5" width="9.88671875" bestFit="1" customWidth="1"/>
    <col min="11" max="11" width="12" bestFit="1" customWidth="1"/>
    <col min="13" max="13" width="10.77734375" bestFit="1" customWidth="1"/>
  </cols>
  <sheetData>
    <row r="1" spans="1:15" x14ac:dyDescent="0.3">
      <c r="A1" s="3" t="s">
        <v>13</v>
      </c>
    </row>
    <row r="2" spans="1:15" x14ac:dyDescent="0.3">
      <c r="A2" s="1" t="s">
        <v>8</v>
      </c>
      <c r="B2" s="1" t="s">
        <v>14</v>
      </c>
      <c r="D2" s="1" t="s">
        <v>15</v>
      </c>
      <c r="E2" s="4" t="s">
        <v>2</v>
      </c>
      <c r="F2" s="1" t="s">
        <v>1</v>
      </c>
      <c r="H2" s="5" t="s">
        <v>16</v>
      </c>
      <c r="I2" s="5" t="s">
        <v>17</v>
      </c>
      <c r="K2" s="1" t="s">
        <v>18</v>
      </c>
      <c r="L2" s="5" t="s">
        <v>19</v>
      </c>
    </row>
    <row r="3" spans="1:15" x14ac:dyDescent="0.3">
      <c r="A3" s="1">
        <v>216</v>
      </c>
      <c r="B3" s="1">
        <v>2.16</v>
      </c>
      <c r="D3" s="1">
        <v>6086.3059999999996</v>
      </c>
      <c r="E3" s="4">
        <v>144.32499999999999</v>
      </c>
      <c r="F3" s="1">
        <f>E3*3</f>
        <v>432.97499999999997</v>
      </c>
      <c r="H3" s="5">
        <v>35.49</v>
      </c>
      <c r="I3" s="5">
        <f>(B3/A3+F3/D3)*H3</f>
        <v>2.8796305590616051</v>
      </c>
      <c r="K3" s="1">
        <v>42</v>
      </c>
      <c r="L3" s="6">
        <v>0.155</v>
      </c>
    </row>
    <row r="5" spans="1:15" x14ac:dyDescent="0.3">
      <c r="A5" s="1" t="s">
        <v>20</v>
      </c>
      <c r="B5" s="1" t="s">
        <v>21</v>
      </c>
      <c r="D5" s="1" t="s">
        <v>22</v>
      </c>
      <c r="E5" s="1" t="s">
        <v>23</v>
      </c>
      <c r="G5" s="1" t="s">
        <v>24</v>
      </c>
      <c r="H5" s="1" t="s">
        <v>25</v>
      </c>
      <c r="J5" s="7" t="s">
        <v>26</v>
      </c>
      <c r="K5" s="7" t="s">
        <v>27</v>
      </c>
      <c r="M5" s="1" t="s">
        <v>18</v>
      </c>
      <c r="N5" s="7" t="s">
        <v>19</v>
      </c>
    </row>
    <row r="6" spans="1:15" x14ac:dyDescent="0.3">
      <c r="A6" s="1">
        <v>2.4</v>
      </c>
      <c r="B6" s="1">
        <f>A6*0.05</f>
        <v>0.12</v>
      </c>
      <c r="D6" s="1">
        <v>5.0000000000000023E-5</v>
      </c>
      <c r="E6" s="1">
        <f>2*10^-6</f>
        <v>1.9999999999999999E-6</v>
      </c>
      <c r="G6" s="1">
        <v>125663.70614359167</v>
      </c>
      <c r="H6" s="1">
        <f>(E6/D6)*G6</f>
        <v>5026.5482457436647</v>
      </c>
      <c r="J6" s="7">
        <v>26.385724906858822</v>
      </c>
      <c r="K6" s="7">
        <f>(2*H6/G6+E6/D6+B6/A6)*J6</f>
        <v>4.4855732341659982</v>
      </c>
      <c r="M6" s="1">
        <v>43</v>
      </c>
      <c r="N6" s="8">
        <f>(M6-J6)/M6</f>
        <v>0.38637849053816692</v>
      </c>
    </row>
    <row r="8" spans="1:15" x14ac:dyDescent="0.3">
      <c r="A8" s="3" t="s">
        <v>10</v>
      </c>
    </row>
    <row r="9" spans="1:15" x14ac:dyDescent="0.3">
      <c r="A9" s="1" t="s">
        <v>8</v>
      </c>
      <c r="B9" s="1" t="s">
        <v>14</v>
      </c>
      <c r="D9" s="1" t="s">
        <v>15</v>
      </c>
      <c r="E9" s="4" t="s">
        <v>2</v>
      </c>
      <c r="F9" s="1" t="s">
        <v>1</v>
      </c>
      <c r="H9" s="5" t="s">
        <v>16</v>
      </c>
      <c r="I9" s="5" t="s">
        <v>17</v>
      </c>
      <c r="K9" s="1" t="s">
        <v>18</v>
      </c>
      <c r="L9" s="5" t="s">
        <v>19</v>
      </c>
    </row>
    <row r="10" spans="1:15" x14ac:dyDescent="0.3">
      <c r="A10" s="1">
        <v>230</v>
      </c>
      <c r="B10" s="1">
        <v>2.2999999999999998</v>
      </c>
      <c r="D10" s="1">
        <v>7023.3720000000003</v>
      </c>
      <c r="E10" s="4">
        <v>167.268</v>
      </c>
      <c r="F10" s="1">
        <f>E10*3</f>
        <v>501.80399999999997</v>
      </c>
      <c r="H10" s="5">
        <f>A10/D10*1000</f>
        <v>32.747802622444034</v>
      </c>
      <c r="I10" s="5">
        <f>(B10/A10+F10/D10)*H10</f>
        <v>2.6672342497525272</v>
      </c>
      <c r="K10" s="1">
        <v>43</v>
      </c>
      <c r="L10" s="6">
        <f>(K10-H10)/K10</f>
        <v>0.23842319482688293</v>
      </c>
    </row>
    <row r="12" spans="1:15" x14ac:dyDescent="0.3">
      <c r="A12" s="1" t="s">
        <v>20</v>
      </c>
      <c r="B12" s="1" t="s">
        <v>21</v>
      </c>
      <c r="D12" s="1" t="s">
        <v>22</v>
      </c>
      <c r="E12" s="1" t="s">
        <v>23</v>
      </c>
      <c r="G12" s="1" t="s">
        <v>24</v>
      </c>
      <c r="H12" s="1" t="s">
        <v>25</v>
      </c>
      <c r="J12" s="7" t="s">
        <v>26</v>
      </c>
      <c r="K12" s="7" t="s">
        <v>27</v>
      </c>
      <c r="M12" s="1" t="s">
        <v>18</v>
      </c>
      <c r="N12" s="7" t="s">
        <v>19</v>
      </c>
    </row>
    <row r="13" spans="1:15" x14ac:dyDescent="0.3">
      <c r="A13" s="1">
        <f>1</f>
        <v>1</v>
      </c>
      <c r="B13" s="1">
        <f>A13*0.05</f>
        <v>0.05</v>
      </c>
      <c r="D13" s="1">
        <v>4.6000000000000034E-5</v>
      </c>
      <c r="E13" s="1">
        <f>2*10^-6</f>
        <v>1.9999999999999999E-6</v>
      </c>
      <c r="G13" s="1">
        <v>136590.98493868689</v>
      </c>
      <c r="H13" s="1">
        <f>(E13/D13)*G13</f>
        <v>5938.738475595077</v>
      </c>
      <c r="J13" s="7">
        <v>26.385724906858822</v>
      </c>
      <c r="K13" s="7">
        <f>(2*H13/G13+E13/D13+B13/A13)*J13</f>
        <v>4.7609025375419156</v>
      </c>
      <c r="M13" s="1">
        <v>43</v>
      </c>
      <c r="N13" s="8">
        <f>(M13-J13)/M13</f>
        <v>0.38637849053816692</v>
      </c>
    </row>
    <row r="15" spans="1:15" x14ac:dyDescent="0.3">
      <c r="A15" s="9" t="s">
        <v>28</v>
      </c>
    </row>
    <row r="16" spans="1:15" x14ac:dyDescent="0.3">
      <c r="A16" s="1" t="s">
        <v>31</v>
      </c>
      <c r="B16" s="1" t="s">
        <v>30</v>
      </c>
      <c r="C16" s="10" t="s">
        <v>29</v>
      </c>
      <c r="E16" s="10" t="s">
        <v>32</v>
      </c>
      <c r="F16" s="10" t="s">
        <v>25</v>
      </c>
      <c r="H16" s="1" t="s">
        <v>15</v>
      </c>
      <c r="I16" s="1" t="s">
        <v>1</v>
      </c>
      <c r="K16" s="5" t="s">
        <v>16</v>
      </c>
      <c r="L16" s="5" t="s">
        <v>17</v>
      </c>
      <c r="N16" s="7" t="s">
        <v>26</v>
      </c>
      <c r="O16" s="7" t="s">
        <v>27</v>
      </c>
    </row>
    <row r="17" spans="1:15" x14ac:dyDescent="0.3">
      <c r="A17" s="13">
        <f xml:space="preserve"> - 0.00000058*35130.4913793103^2 + 0.04075137*35130.4913793103 + 55.1579</f>
        <v>770.96572624004318</v>
      </c>
      <c r="B17" s="13">
        <v>545.15509308674586</v>
      </c>
      <c r="C17" s="1">
        <v>1</v>
      </c>
      <c r="E17" s="1">
        <v>35130.491379310348</v>
      </c>
      <c r="F17" s="1">
        <v>0</v>
      </c>
      <c r="H17" s="1">
        <f>61899-49671</f>
        <v>12228</v>
      </c>
      <c r="I17" s="1">
        <v>0</v>
      </c>
      <c r="K17" s="5">
        <v>18.809290153745501</v>
      </c>
      <c r="L17" s="5"/>
      <c r="N17" s="7">
        <v>26.385724906858822</v>
      </c>
      <c r="O17" s="7">
        <f>(2*L17/K17+I17/H17+F17/E17)*N17</f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df8b60f2dc3be3d33ea09aeb8f6dcdfa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20a5d5cd272d745c84963488382a52fd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Props1.xml><?xml version="1.0" encoding="utf-8"?>
<ds:datastoreItem xmlns:ds="http://schemas.openxmlformats.org/officeDocument/2006/customXml" ds:itemID="{95F38B86-CF41-405E-95A3-743B72CCC6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7DFC2-BE9E-4BFD-A27E-8B1019793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994D1-6185-4796-B82F-887380487AD8}">
  <ds:schemaRefs>
    <ds:schemaRef ds:uri="http://schemas.microsoft.com/office/2006/metadata/properties"/>
    <ds:schemaRef ds:uri="http://schemas.microsoft.com/office/2006/documentManagement/types"/>
    <ds:schemaRef ds:uri="21343963-c43f-42a4-b0bc-b203e64410f4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esperienza 4</vt:lpstr>
      <vt:lpstr>esperienza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MIROLO MANUELE [SM2001968]</dc:creator>
  <cp:lastModifiedBy>MIROLO MANUELE [SM2001968]</cp:lastModifiedBy>
  <dcterms:created xsi:type="dcterms:W3CDTF">2025-11-20T22:28:37Z</dcterms:created>
  <dcterms:modified xsi:type="dcterms:W3CDTF">2025-11-23T11:07:03Z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