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"/>
    </mc:Choice>
  </mc:AlternateContent>
  <xr:revisionPtr revIDLastSave="0" documentId="13_ncr:1_{122CC6AD-78F7-4BE3-BAB4-3D2930DA1C5A}" xr6:coauthVersionLast="47" xr6:coauthVersionMax="47" xr10:uidLastSave="{00000000-0000-0000-0000-000000000000}"/>
  <bookViews>
    <workbookView xWindow="-108" yWindow="-108" windowWidth="23256" windowHeight="12456" activeTab="2" xr2:uid="{26ECF0ED-5C17-4637-BE03-F533109B6AC2}"/>
  </bookViews>
  <sheets>
    <sheet name="Strumenti" sheetId="2" r:id="rId1"/>
    <sheet name="CURVE DIODI" sheetId="1" r:id="rId2"/>
    <sheet name="FASE DI MISURA" sheetId="3" r:id="rId3"/>
    <sheet name="PARAMETR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3" l="1"/>
  <c r="M24" i="3" s="1"/>
  <c r="M18" i="3"/>
  <c r="E24" i="3"/>
  <c r="F21" i="3"/>
  <c r="E18" i="3"/>
  <c r="F12" i="3"/>
  <c r="F9" i="3"/>
  <c r="M15" i="3"/>
  <c r="M12" i="3"/>
  <c r="N9" i="3"/>
  <c r="N12" i="3" s="1"/>
  <c r="M9" i="3"/>
  <c r="E15" i="3"/>
  <c r="E12" i="3"/>
  <c r="E9" i="3"/>
  <c r="C3" i="3"/>
  <c r="E3" i="3" s="1"/>
  <c r="F3" i="3" s="1"/>
  <c r="B3" i="3"/>
  <c r="A3" i="4"/>
  <c r="N6" i="3"/>
  <c r="M6" i="3"/>
  <c r="M3" i="3"/>
  <c r="N3" i="3" s="1"/>
  <c r="B5" i="2"/>
  <c r="AS37" i="1"/>
  <c r="AT37" i="1" s="1"/>
  <c r="AR37" i="1"/>
  <c r="AQ37" i="1"/>
  <c r="AS36" i="1"/>
  <c r="AT36" i="1" s="1"/>
  <c r="AQ36" i="1"/>
  <c r="AR36" i="1" s="1"/>
  <c r="AS35" i="1"/>
  <c r="AT35" i="1" s="1"/>
  <c r="AR35" i="1"/>
  <c r="AQ35" i="1"/>
  <c r="AS34" i="1"/>
  <c r="AT34" i="1" s="1"/>
  <c r="AQ34" i="1"/>
  <c r="AR34" i="1" s="1"/>
  <c r="AS33" i="1"/>
  <c r="AT33" i="1" s="1"/>
  <c r="AR33" i="1"/>
  <c r="AQ33" i="1"/>
  <c r="AS32" i="1"/>
  <c r="AT32" i="1" s="1"/>
  <c r="AQ32" i="1"/>
  <c r="AR32" i="1" s="1"/>
  <c r="AS31" i="1"/>
  <c r="AT31" i="1" s="1"/>
  <c r="AR31" i="1"/>
  <c r="AQ31" i="1"/>
  <c r="AS30" i="1"/>
  <c r="AT30" i="1" s="1"/>
  <c r="AQ30" i="1"/>
  <c r="AR30" i="1" s="1"/>
  <c r="AS29" i="1"/>
  <c r="AT29" i="1" s="1"/>
  <c r="AR29" i="1"/>
  <c r="AQ29" i="1"/>
  <c r="AS28" i="1"/>
  <c r="AT28" i="1" s="1"/>
  <c r="AQ28" i="1"/>
  <c r="AR28" i="1" s="1"/>
  <c r="AS27" i="1"/>
  <c r="AT27" i="1" s="1"/>
  <c r="AR27" i="1"/>
  <c r="AQ27" i="1"/>
  <c r="AS26" i="1"/>
  <c r="AT26" i="1" s="1"/>
  <c r="AQ26" i="1"/>
  <c r="AR26" i="1" s="1"/>
  <c r="AS25" i="1"/>
  <c r="AT25" i="1" s="1"/>
  <c r="AR25" i="1"/>
  <c r="AQ25" i="1"/>
  <c r="AS24" i="1"/>
  <c r="AT24" i="1" s="1"/>
  <c r="AQ24" i="1"/>
  <c r="AR24" i="1" s="1"/>
  <c r="AS23" i="1"/>
  <c r="AT23" i="1" s="1"/>
  <c r="AR23" i="1"/>
  <c r="AQ23" i="1"/>
  <c r="AS22" i="1"/>
  <c r="AT22" i="1" s="1"/>
  <c r="AQ22" i="1"/>
  <c r="AR22" i="1" s="1"/>
  <c r="AS21" i="1"/>
  <c r="AT21" i="1" s="1"/>
  <c r="AR21" i="1"/>
  <c r="AQ21" i="1"/>
  <c r="AS20" i="1"/>
  <c r="AT20" i="1" s="1"/>
  <c r="AQ20" i="1"/>
  <c r="AR20" i="1" s="1"/>
  <c r="AS19" i="1"/>
  <c r="AT19" i="1" s="1"/>
  <c r="AR19" i="1"/>
  <c r="AQ19" i="1"/>
  <c r="AS18" i="1"/>
  <c r="AT18" i="1" s="1"/>
  <c r="AQ18" i="1"/>
  <c r="AR18" i="1" s="1"/>
  <c r="AS17" i="1"/>
  <c r="AT17" i="1" s="1"/>
  <c r="AR17" i="1"/>
  <c r="AQ17" i="1"/>
  <c r="AS16" i="1"/>
  <c r="AT16" i="1" s="1"/>
  <c r="AQ16" i="1"/>
  <c r="AR16" i="1" s="1"/>
  <c r="AS15" i="1"/>
  <c r="AT15" i="1" s="1"/>
  <c r="AR15" i="1"/>
  <c r="AQ15" i="1"/>
  <c r="AS14" i="1"/>
  <c r="AT14" i="1" s="1"/>
  <c r="AQ14" i="1"/>
  <c r="AR14" i="1" s="1"/>
  <c r="AS13" i="1"/>
  <c r="AT13" i="1" s="1"/>
  <c r="AR13" i="1"/>
  <c r="AQ13" i="1"/>
  <c r="AS12" i="1"/>
  <c r="AT12" i="1" s="1"/>
  <c r="AQ12" i="1"/>
  <c r="AR12" i="1" s="1"/>
  <c r="AS11" i="1"/>
  <c r="AT11" i="1" s="1"/>
  <c r="AR11" i="1"/>
  <c r="AQ11" i="1"/>
  <c r="AS10" i="1"/>
  <c r="AT10" i="1" s="1"/>
  <c r="AQ10" i="1"/>
  <c r="AR10" i="1" s="1"/>
  <c r="AS9" i="1"/>
  <c r="AT9" i="1" s="1"/>
  <c r="AR9" i="1"/>
  <c r="AQ9" i="1"/>
  <c r="AS8" i="1"/>
  <c r="AT8" i="1" s="1"/>
  <c r="AQ8" i="1"/>
  <c r="AR8" i="1" s="1"/>
  <c r="AS7" i="1"/>
  <c r="AT7" i="1" s="1"/>
  <c r="AR7" i="1"/>
  <c r="AQ7" i="1"/>
  <c r="AS6" i="1"/>
  <c r="AT6" i="1" s="1"/>
  <c r="AQ6" i="1"/>
  <c r="AR6" i="1" s="1"/>
  <c r="AS5" i="1"/>
  <c r="AT5" i="1" s="1"/>
  <c r="AR5" i="1"/>
  <c r="AQ5" i="1"/>
  <c r="AS4" i="1"/>
  <c r="AT4" i="1" s="1"/>
  <c r="AQ4" i="1"/>
  <c r="AR4" i="1" s="1"/>
  <c r="AS3" i="1"/>
  <c r="AT3" i="1" s="1"/>
  <c r="AR3" i="1"/>
  <c r="AQ3" i="1"/>
  <c r="AF37" i="1"/>
  <c r="AG37" i="1" s="1"/>
  <c r="AD37" i="1"/>
  <c r="AE37" i="1" s="1"/>
  <c r="AF36" i="1"/>
  <c r="AG36" i="1" s="1"/>
  <c r="AD36" i="1"/>
  <c r="AE36" i="1" s="1"/>
  <c r="AF35" i="1"/>
  <c r="AG35" i="1" s="1"/>
  <c r="AD35" i="1"/>
  <c r="AE35" i="1" s="1"/>
  <c r="AF34" i="1"/>
  <c r="AG34" i="1" s="1"/>
  <c r="AD34" i="1"/>
  <c r="AE34" i="1" s="1"/>
  <c r="AF33" i="1"/>
  <c r="AG33" i="1" s="1"/>
  <c r="AD33" i="1"/>
  <c r="AE33" i="1" s="1"/>
  <c r="AF32" i="1"/>
  <c r="AG32" i="1" s="1"/>
  <c r="AD32" i="1"/>
  <c r="AE32" i="1" s="1"/>
  <c r="AF31" i="1"/>
  <c r="AG31" i="1" s="1"/>
  <c r="AD31" i="1"/>
  <c r="AE31" i="1" s="1"/>
  <c r="AF30" i="1"/>
  <c r="AG30" i="1" s="1"/>
  <c r="AD30" i="1"/>
  <c r="AE30" i="1" s="1"/>
  <c r="AF29" i="1"/>
  <c r="AG29" i="1" s="1"/>
  <c r="AD29" i="1"/>
  <c r="AE29" i="1" s="1"/>
  <c r="AF28" i="1"/>
  <c r="AG28" i="1" s="1"/>
  <c r="AD28" i="1"/>
  <c r="AE28" i="1" s="1"/>
  <c r="AF27" i="1"/>
  <c r="AG27" i="1" s="1"/>
  <c r="AD27" i="1"/>
  <c r="AE27" i="1" s="1"/>
  <c r="AF26" i="1"/>
  <c r="AG26" i="1" s="1"/>
  <c r="AD26" i="1"/>
  <c r="AE26" i="1" s="1"/>
  <c r="AF25" i="1"/>
  <c r="AG25" i="1" s="1"/>
  <c r="AD25" i="1"/>
  <c r="AE25" i="1" s="1"/>
  <c r="AF24" i="1"/>
  <c r="AG24" i="1" s="1"/>
  <c r="AD24" i="1"/>
  <c r="AE24" i="1" s="1"/>
  <c r="AF23" i="1"/>
  <c r="AG23" i="1" s="1"/>
  <c r="AD23" i="1"/>
  <c r="AE23" i="1" s="1"/>
  <c r="AF22" i="1"/>
  <c r="AG22" i="1" s="1"/>
  <c r="AD22" i="1"/>
  <c r="AE22" i="1" s="1"/>
  <c r="AF21" i="1"/>
  <c r="AG21" i="1" s="1"/>
  <c r="AD21" i="1"/>
  <c r="AE21" i="1" s="1"/>
  <c r="AF20" i="1"/>
  <c r="AG20" i="1" s="1"/>
  <c r="AD20" i="1"/>
  <c r="AE20" i="1" s="1"/>
  <c r="AF19" i="1"/>
  <c r="AG19" i="1" s="1"/>
  <c r="AD19" i="1"/>
  <c r="AE19" i="1" s="1"/>
  <c r="AF18" i="1"/>
  <c r="AG18" i="1" s="1"/>
  <c r="AD18" i="1"/>
  <c r="AE18" i="1" s="1"/>
  <c r="AF17" i="1"/>
  <c r="AG17" i="1" s="1"/>
  <c r="AD17" i="1"/>
  <c r="AE17" i="1" s="1"/>
  <c r="AF16" i="1"/>
  <c r="AG16" i="1" s="1"/>
  <c r="AD16" i="1"/>
  <c r="AE16" i="1" s="1"/>
  <c r="AF15" i="1"/>
  <c r="AG15" i="1" s="1"/>
  <c r="AD15" i="1"/>
  <c r="AE15" i="1" s="1"/>
  <c r="AF14" i="1"/>
  <c r="AG14" i="1" s="1"/>
  <c r="AD14" i="1"/>
  <c r="AE14" i="1" s="1"/>
  <c r="AF13" i="1"/>
  <c r="AG13" i="1" s="1"/>
  <c r="AD13" i="1"/>
  <c r="AE13" i="1" s="1"/>
  <c r="AF12" i="1"/>
  <c r="AG12" i="1" s="1"/>
  <c r="AD12" i="1"/>
  <c r="AE12" i="1" s="1"/>
  <c r="AF11" i="1"/>
  <c r="AG11" i="1" s="1"/>
  <c r="AD11" i="1"/>
  <c r="AE11" i="1" s="1"/>
  <c r="AF10" i="1"/>
  <c r="AG10" i="1" s="1"/>
  <c r="AD10" i="1"/>
  <c r="AE10" i="1" s="1"/>
  <c r="AF9" i="1"/>
  <c r="AG9" i="1" s="1"/>
  <c r="AD9" i="1"/>
  <c r="AE9" i="1" s="1"/>
  <c r="AF8" i="1"/>
  <c r="AG8" i="1" s="1"/>
  <c r="AD8" i="1"/>
  <c r="AE8" i="1" s="1"/>
  <c r="AF7" i="1"/>
  <c r="AG7" i="1" s="1"/>
  <c r="AD7" i="1"/>
  <c r="AE7" i="1" s="1"/>
  <c r="AF6" i="1"/>
  <c r="AG6" i="1" s="1"/>
  <c r="AD6" i="1"/>
  <c r="AE6" i="1" s="1"/>
  <c r="AF5" i="1"/>
  <c r="AG5" i="1" s="1"/>
  <c r="AD5" i="1"/>
  <c r="AE5" i="1" s="1"/>
  <c r="AF4" i="1"/>
  <c r="AG4" i="1" s="1"/>
  <c r="AD4" i="1"/>
  <c r="AE4" i="1" s="1"/>
  <c r="AF3" i="1"/>
  <c r="AG3" i="1" s="1"/>
  <c r="AD3" i="1"/>
  <c r="AE3" i="1" s="1"/>
  <c r="S37" i="1"/>
  <c r="T37" i="1" s="1"/>
  <c r="Q37" i="1"/>
  <c r="R37" i="1" s="1"/>
  <c r="T36" i="1"/>
  <c r="S36" i="1"/>
  <c r="Q36" i="1"/>
  <c r="R36" i="1" s="1"/>
  <c r="S35" i="1"/>
  <c r="T35" i="1" s="1"/>
  <c r="Q35" i="1"/>
  <c r="R35" i="1" s="1"/>
  <c r="S34" i="1"/>
  <c r="T34" i="1" s="1"/>
  <c r="Q34" i="1"/>
  <c r="R34" i="1" s="1"/>
  <c r="S33" i="1"/>
  <c r="T33" i="1" s="1"/>
  <c r="Q33" i="1"/>
  <c r="R33" i="1" s="1"/>
  <c r="S32" i="1"/>
  <c r="T32" i="1" s="1"/>
  <c r="Q32" i="1"/>
  <c r="R32" i="1" s="1"/>
  <c r="S31" i="1"/>
  <c r="T31" i="1" s="1"/>
  <c r="Q31" i="1"/>
  <c r="R31" i="1" s="1"/>
  <c r="S30" i="1"/>
  <c r="T30" i="1" s="1"/>
  <c r="Q30" i="1"/>
  <c r="R30" i="1" s="1"/>
  <c r="S29" i="1"/>
  <c r="T29" i="1" s="1"/>
  <c r="Q29" i="1"/>
  <c r="R29" i="1" s="1"/>
  <c r="S28" i="1"/>
  <c r="T28" i="1" s="1"/>
  <c r="Q28" i="1"/>
  <c r="R28" i="1" s="1"/>
  <c r="S27" i="1"/>
  <c r="T27" i="1" s="1"/>
  <c r="Q27" i="1"/>
  <c r="R27" i="1" s="1"/>
  <c r="S26" i="1"/>
  <c r="T26" i="1" s="1"/>
  <c r="Q26" i="1"/>
  <c r="R26" i="1" s="1"/>
  <c r="S25" i="1"/>
  <c r="T25" i="1" s="1"/>
  <c r="Q25" i="1"/>
  <c r="R25" i="1" s="1"/>
  <c r="S24" i="1"/>
  <c r="T24" i="1" s="1"/>
  <c r="Q24" i="1"/>
  <c r="R24" i="1" s="1"/>
  <c r="S23" i="1"/>
  <c r="T23" i="1" s="1"/>
  <c r="Q23" i="1"/>
  <c r="R23" i="1" s="1"/>
  <c r="S22" i="1"/>
  <c r="T22" i="1" s="1"/>
  <c r="Q22" i="1"/>
  <c r="R22" i="1" s="1"/>
  <c r="S21" i="1"/>
  <c r="T21" i="1" s="1"/>
  <c r="Q21" i="1"/>
  <c r="R21" i="1" s="1"/>
  <c r="S20" i="1"/>
  <c r="T20" i="1" s="1"/>
  <c r="Q20" i="1"/>
  <c r="R20" i="1" s="1"/>
  <c r="S19" i="1"/>
  <c r="T19" i="1" s="1"/>
  <c r="Q19" i="1"/>
  <c r="R19" i="1" s="1"/>
  <c r="S18" i="1"/>
  <c r="T18" i="1" s="1"/>
  <c r="Q18" i="1"/>
  <c r="R18" i="1" s="1"/>
  <c r="S17" i="1"/>
  <c r="T17" i="1" s="1"/>
  <c r="Q17" i="1"/>
  <c r="R17" i="1" s="1"/>
  <c r="S16" i="1"/>
  <c r="T16" i="1" s="1"/>
  <c r="Q16" i="1"/>
  <c r="R16" i="1" s="1"/>
  <c r="S15" i="1"/>
  <c r="T15" i="1" s="1"/>
  <c r="Q15" i="1"/>
  <c r="R15" i="1" s="1"/>
  <c r="S14" i="1"/>
  <c r="T14" i="1" s="1"/>
  <c r="Q14" i="1"/>
  <c r="R14" i="1" s="1"/>
  <c r="S13" i="1"/>
  <c r="T13" i="1" s="1"/>
  <c r="Q13" i="1"/>
  <c r="R13" i="1" s="1"/>
  <c r="S12" i="1"/>
  <c r="T12" i="1" s="1"/>
  <c r="Q12" i="1"/>
  <c r="R12" i="1" s="1"/>
  <c r="S11" i="1"/>
  <c r="T11" i="1" s="1"/>
  <c r="Q11" i="1"/>
  <c r="R11" i="1" s="1"/>
  <c r="S10" i="1"/>
  <c r="T10" i="1" s="1"/>
  <c r="Q10" i="1"/>
  <c r="R10" i="1" s="1"/>
  <c r="S9" i="1"/>
  <c r="T9" i="1" s="1"/>
  <c r="Q9" i="1"/>
  <c r="R9" i="1" s="1"/>
  <c r="S8" i="1"/>
  <c r="T8" i="1" s="1"/>
  <c r="Q8" i="1"/>
  <c r="R8" i="1" s="1"/>
  <c r="S7" i="1"/>
  <c r="T7" i="1" s="1"/>
  <c r="Q7" i="1"/>
  <c r="R7" i="1" s="1"/>
  <c r="S6" i="1"/>
  <c r="T6" i="1" s="1"/>
  <c r="Q6" i="1"/>
  <c r="R6" i="1" s="1"/>
  <c r="S5" i="1"/>
  <c r="T5" i="1" s="1"/>
  <c r="Q5" i="1"/>
  <c r="R5" i="1" s="1"/>
  <c r="S4" i="1"/>
  <c r="T4" i="1" s="1"/>
  <c r="Q4" i="1"/>
  <c r="R4" i="1" s="1"/>
  <c r="S3" i="1"/>
  <c r="T3" i="1" s="1"/>
  <c r="Q3" i="1"/>
  <c r="R3" i="1" s="1"/>
  <c r="D5" i="1"/>
  <c r="D13" i="1"/>
  <c r="D21" i="1"/>
  <c r="D29" i="1"/>
  <c r="D37" i="1"/>
  <c r="E4" i="1"/>
  <c r="F4" i="1" s="1"/>
  <c r="E5" i="1"/>
  <c r="F5" i="1" s="1"/>
  <c r="E6" i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C4" i="1"/>
  <c r="D4" i="1" s="1"/>
  <c r="C5" i="1"/>
  <c r="C6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E3" i="1"/>
  <c r="F3" i="1" s="1"/>
  <c r="C3" i="1"/>
  <c r="D3" i="1" s="1"/>
  <c r="F15" i="3" l="1" a="1"/>
  <c r="F15" i="3" s="1"/>
  <c r="N15" i="3" a="1"/>
  <c r="N15" i="3" s="1"/>
  <c r="E6" i="3"/>
  <c r="F6" i="3" s="1"/>
  <c r="D6" i="1"/>
  <c r="F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<sst xmlns="http://schemas.openxmlformats.org/spreadsheetml/2006/main" count="73" uniqueCount="41">
  <si>
    <t>I [mA]</t>
  </si>
  <si>
    <t>V[mV]</t>
  </si>
  <si>
    <t>R[Ω]</t>
  </si>
  <si>
    <t>R_din[Ω]</t>
  </si>
  <si>
    <t>ΔR_din[Ω]</t>
  </si>
  <si>
    <t>ΔR[Ω]</t>
  </si>
  <si>
    <t>DIODO 1</t>
  </si>
  <si>
    <t>DIODO 2</t>
  </si>
  <si>
    <t>DIODO 3</t>
  </si>
  <si>
    <t>DIODO 4</t>
  </si>
  <si>
    <t>α</t>
  </si>
  <si>
    <t>ΔV_c [min]</t>
  </si>
  <si>
    <t>ΔV_c[max]</t>
  </si>
  <si>
    <t>ΔV_c [mV]</t>
  </si>
  <si>
    <t>V_max [V]</t>
  </si>
  <si>
    <t>αV_max [V]</t>
  </si>
  <si>
    <t>R_d</t>
  </si>
  <si>
    <t>ΔR_d</t>
  </si>
  <si>
    <t>FASE DI CARICA</t>
  </si>
  <si>
    <t>FASE DI SCARICA</t>
  </si>
  <si>
    <t>ΔV [V]</t>
  </si>
  <si>
    <t>ΔI [A]</t>
  </si>
  <si>
    <t>R_c [Ω]</t>
  </si>
  <si>
    <t>ΔR_c  [Ω]</t>
  </si>
  <si>
    <t>C [nF]</t>
  </si>
  <si>
    <t>ΔC[nF]</t>
  </si>
  <si>
    <t>τ</t>
  </si>
  <si>
    <t>Δτ</t>
  </si>
  <si>
    <t>ΔV_rip[mV]</t>
  </si>
  <si>
    <t>Δ(ΔV_rip)[mV]</t>
  </si>
  <si>
    <t>r</t>
  </si>
  <si>
    <t>ΔV_medio</t>
  </si>
  <si>
    <t>τ[1/s]</t>
  </si>
  <si>
    <t>Δτ[1/s]</t>
  </si>
  <si>
    <t>R_d[Ω]</t>
  </si>
  <si>
    <t>ΔR_d[Ω]</t>
  </si>
  <si>
    <t>Δr</t>
  </si>
  <si>
    <t>J_th</t>
  </si>
  <si>
    <t>T/2</t>
  </si>
  <si>
    <t>K</t>
  </si>
  <si>
    <t>J_sp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</si>
</sst>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</a:t>
            </a:r>
            <a:r>
              <a:rPr lang="en-US" baseline="0"/>
              <a:t> caratteristica diodo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'CURVE DIODI'!$A$2</c:f>
              <c:strCache>
                <c:ptCount val="1"/>
                <c:pt idx="0">
                  <c:v>I [mA]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 DIODI'!$B$3:$B$37</c:f>
              <c:numCache>
                <c:formatCode>General</c:formatCode>
                <c:ptCount val="35"/>
              </c:numCache>
            </c:numRef>
          </c:xVal>
          <c:yVal>
            <c:numRef>
              <c:f>'CURVE DIODI'!$A$3:$A$37</c:f>
              <c:numCache>
                <c:formatCode>General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5-4E0E-B9E1-51A868ADB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540271"/>
        <c:axId val="1449543631"/>
      </c:scatterChart>
      <c:valAx>
        <c:axId val="144954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3631"/>
        <c:crosses val="autoZero"/>
        <c:crossBetween val="midCat"/>
      </c:valAx>
      <c:valAx>
        <c:axId val="14495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</a:t>
            </a:r>
            <a:r>
              <a:rPr lang="en-US" baseline="0"/>
              <a:t> caratteristica diodo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'CURVE DIODI'!$A$2</c:f>
              <c:strCache>
                <c:ptCount val="1"/>
                <c:pt idx="0">
                  <c:v>I [mA]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 DIODI'!$P$3:$P$37</c:f>
              <c:numCache>
                <c:formatCode>General</c:formatCode>
                <c:ptCount val="35"/>
              </c:numCache>
            </c:numRef>
          </c:xVal>
          <c:yVal>
            <c:numRef>
              <c:f>'CURVE DIODI'!$O$3:$O$37</c:f>
              <c:numCache>
                <c:formatCode>General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0A-47A9-A3D8-B2BD2EDDF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540271"/>
        <c:axId val="1449543631"/>
      </c:scatterChart>
      <c:valAx>
        <c:axId val="144954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3631"/>
        <c:crosses val="autoZero"/>
        <c:crossBetween val="midCat"/>
      </c:valAx>
      <c:valAx>
        <c:axId val="14495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</a:t>
            </a:r>
            <a:r>
              <a:rPr lang="en-US" baseline="0"/>
              <a:t> caratteristica diodo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'CURVE DIODI'!$A$2</c:f>
              <c:strCache>
                <c:ptCount val="1"/>
                <c:pt idx="0">
                  <c:v>I [mA]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 DIODI'!$AC$3:$AC$37</c:f>
              <c:numCache>
                <c:formatCode>General</c:formatCode>
                <c:ptCount val="35"/>
              </c:numCache>
            </c:numRef>
          </c:xVal>
          <c:yVal>
            <c:numRef>
              <c:f>'CURVE DIODI'!$AB$3:$AB$37</c:f>
              <c:numCache>
                <c:formatCode>General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9C-4B0C-8D1B-B76AF6D61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540271"/>
        <c:axId val="1449543631"/>
      </c:scatterChart>
      <c:valAx>
        <c:axId val="144954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3631"/>
        <c:crosses val="autoZero"/>
        <c:crossBetween val="midCat"/>
      </c:valAx>
      <c:valAx>
        <c:axId val="14495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</a:t>
            </a:r>
            <a:r>
              <a:rPr lang="en-US" baseline="0"/>
              <a:t> caratteristica diodo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'CURVE DIODI'!$A$2</c:f>
              <c:strCache>
                <c:ptCount val="1"/>
                <c:pt idx="0">
                  <c:v>I [mA]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 DIODI'!$AP$3:$AP$37</c:f>
              <c:numCache>
                <c:formatCode>General</c:formatCode>
                <c:ptCount val="35"/>
              </c:numCache>
            </c:numRef>
          </c:xVal>
          <c:yVal>
            <c:numRef>
              <c:f>'CURVE DIODI'!$AO$3:$AO$37</c:f>
              <c:numCache>
                <c:formatCode>General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54-4C52-A7EC-19951C24A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540271"/>
        <c:axId val="1449543631"/>
      </c:scatterChart>
      <c:valAx>
        <c:axId val="144954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3631"/>
        <c:crosses val="autoZero"/>
        <c:crossBetween val="midCat"/>
      </c:valAx>
      <c:valAx>
        <c:axId val="14495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4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188935</xdr:colOff>
      <xdr:row>0</xdr:row>
      <xdr:rowOff>177451</xdr:rowOff>
    </xdr:from>
    <xdr:to>
      <xdr:col>13</xdr:col>
      <xdr:colOff>489559</xdr:colOff>
      <xdr:row>15</xdr:row>
      <xdr:rowOff>177452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880A17-C70A-E238-545F-0F5226EEA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41754</xdr:colOff>
      <xdr:row>1</xdr:row>
      <xdr:rowOff>20878</xdr:rowOff>
    </xdr:from>
    <xdr:to>
      <xdr:col>26</xdr:col>
      <xdr:colOff>532356</xdr:colOff>
      <xdr:row>15</xdr:row>
      <xdr:rowOff>146138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CBE39-9635-4128-B404-EC1EDCC77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41753</xdr:colOff>
      <xdr:row>1</xdr:row>
      <xdr:rowOff>31315</xdr:rowOff>
    </xdr:from>
    <xdr:to>
      <xdr:col>39</xdr:col>
      <xdr:colOff>532355</xdr:colOff>
      <xdr:row>15</xdr:row>
      <xdr:rowOff>156575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28AABE-8BB8-4EE4-A00E-7DE201392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302712</xdr:colOff>
      <xdr:row>0</xdr:row>
      <xdr:rowOff>41754</xdr:rowOff>
    </xdr:from>
    <xdr:to>
      <xdr:col>53</xdr:col>
      <xdr:colOff>187889</xdr:colOff>
      <xdr:row>14</xdr:row>
      <xdr:rowOff>167014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F4568D-229A-46A8-9FB8-3443B66F1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761A-6D8E-4E61-99E1-B4A0153C2A9C}">
  <dimension ref="A1:I5"/>
  <sheetViews>
    <sheetView workbookViewId="0">
      <selection activeCell="G12" sqref="G12"/>
    </sheetView>
  </sheetViews>
  <sheetFormatPr defaultRowHeight="14.4" x14ac:dyDescent="0.3"/>
  <cols>
    <col min="2" max="2" width="9.77734375" bestFit="1" customWidth="1"/>
  </cols>
  <sheetData>
    <row r="1" spans="1:9" x14ac:dyDescent="0.3">
      <c r="A1" s="1" t="s">
        <v>20</v>
      </c>
      <c r="B1" s="1" t="s">
        <v>21</v>
      </c>
      <c r="C1" s="4" t="s">
        <v>10</v>
      </c>
      <c r="E1" s="1" t="s">
        <v>22</v>
      </c>
      <c r="F1" s="1" t="s">
        <v>23</v>
      </c>
      <c r="H1" s="1" t="s">
        <v>24</v>
      </c>
      <c r="I1" s="1" t="s">
        <v>25</v>
      </c>
    </row>
    <row r="2" spans="1:9" x14ac:dyDescent="0.3">
      <c r="A2" s="1"/>
      <c r="B2" s="1"/>
      <c r="C2" s="1"/>
      <c r="E2" s="1"/>
      <c r="F2" s="1"/>
      <c r="H2" s="1"/>
      <c r="I2" s="1"/>
    </row>
    <row r="4" spans="1:9" x14ac:dyDescent="0.3">
      <c r="A4" s="1" t="s">
        <v>14</v>
      </c>
      <c r="B4" s="1" t="s">
        <v>15</v>
      </c>
    </row>
    <row r="5" spans="1:9" x14ac:dyDescent="0.3">
      <c r="A5" s="1">
        <v>310</v>
      </c>
      <c r="B5" s="1">
        <f>A5*C2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4475-D04B-467A-9638-BCD0CD53804D}">
  <dimension ref="A1:AT37"/>
  <sheetViews>
    <sheetView topLeftCell="AA1" zoomScale="73" workbookViewId="0">
      <selection activeCell="AV3" sqref="AV3"/>
    </sheetView>
  </sheetViews>
  <sheetFormatPr defaultRowHeight="14.4" x14ac:dyDescent="0.3"/>
  <sheetData>
    <row r="1" spans="1:46" x14ac:dyDescent="0.3">
      <c r="A1" s="3" t="s">
        <v>6</v>
      </c>
      <c r="O1" s="3" t="s">
        <v>7</v>
      </c>
      <c r="AB1" s="3" t="s">
        <v>8</v>
      </c>
      <c r="AO1" s="3" t="s">
        <v>9</v>
      </c>
    </row>
    <row r="2" spans="1:46" x14ac:dyDescent="0.3">
      <c r="A2" s="2" t="s">
        <v>0</v>
      </c>
      <c r="B2" s="2" t="s">
        <v>1</v>
      </c>
      <c r="C2" s="2" t="s">
        <v>2</v>
      </c>
      <c r="D2" s="2" t="s">
        <v>5</v>
      </c>
      <c r="E2" s="2" t="s">
        <v>3</v>
      </c>
      <c r="F2" s="2" t="s">
        <v>4</v>
      </c>
      <c r="O2" s="2" t="s">
        <v>0</v>
      </c>
      <c r="P2" s="2" t="s">
        <v>1</v>
      </c>
      <c r="Q2" s="2" t="s">
        <v>2</v>
      </c>
      <c r="R2" s="2" t="s">
        <v>5</v>
      </c>
      <c r="S2" s="2" t="s">
        <v>3</v>
      </c>
      <c r="T2" s="2" t="s">
        <v>4</v>
      </c>
      <c r="AB2" s="2" t="s">
        <v>0</v>
      </c>
      <c r="AC2" s="2" t="s">
        <v>1</v>
      </c>
      <c r="AD2" s="2" t="s">
        <v>2</v>
      </c>
      <c r="AE2" s="2" t="s">
        <v>5</v>
      </c>
      <c r="AF2" s="2" t="s">
        <v>3</v>
      </c>
      <c r="AG2" s="2" t="s">
        <v>4</v>
      </c>
      <c r="AO2" s="2" t="s">
        <v>0</v>
      </c>
      <c r="AP2" s="2" t="s">
        <v>1</v>
      </c>
      <c r="AQ2" s="2" t="s">
        <v>2</v>
      </c>
      <c r="AR2" s="2" t="s">
        <v>5</v>
      </c>
      <c r="AS2" s="2" t="s">
        <v>3</v>
      </c>
      <c r="AT2" s="2" t="s">
        <v>4</v>
      </c>
    </row>
    <row r="3" spans="1:46" x14ac:dyDescent="0.3">
      <c r="A3" s="1"/>
      <c r="B3" s="1"/>
      <c r="C3" s="1" t="e">
        <f>B3/A3</f>
        <v>#DIV/0!</v>
      </c>
      <c r="D3" s="1" t="e">
        <f>C3*((Strumenti!A2/B3)+(Strumenti!B2/A3))</f>
        <v>#DIV/0!</v>
      </c>
      <c r="E3" s="1" t="e">
        <f>(B4-B3)/(A4-A3)</f>
        <v>#DIV/0!</v>
      </c>
      <c r="F3" s="1" t="e">
        <f>E3*((Strumenti!A2/(B4-B3))+(Strumenti!B2/(A4-A3)))</f>
        <v>#DIV/0!</v>
      </c>
      <c r="O3" s="1"/>
      <c r="P3" s="1"/>
      <c r="Q3" s="1" t="e">
        <f>P3/O3</f>
        <v>#DIV/0!</v>
      </c>
      <c r="R3" s="1" t="e">
        <f>Q3*((Strumenti!O2/P3)+(Strumenti!P2/O3))</f>
        <v>#DIV/0!</v>
      </c>
      <c r="S3" s="1" t="e">
        <f>(P4-P3)/(O4-O3)</f>
        <v>#DIV/0!</v>
      </c>
      <c r="T3" s="1" t="e">
        <f>S3*((Strumenti!O2/(P4-P3))+(Strumenti!P2/(O4-O3)))</f>
        <v>#DIV/0!</v>
      </c>
      <c r="AB3" s="1"/>
      <c r="AC3" s="1"/>
      <c r="AD3" s="1" t="e">
        <f>AC3/AB3</f>
        <v>#DIV/0!</v>
      </c>
      <c r="AE3" s="1" t="e">
        <f>AD3*((Strumenti!AB2/AC3)+(Strumenti!AC2/AB3))</f>
        <v>#DIV/0!</v>
      </c>
      <c r="AF3" s="1" t="e">
        <f>(AC4-AC3)/(AB4-AB3)</f>
        <v>#DIV/0!</v>
      </c>
      <c r="AG3" s="1" t="e">
        <f>AF3*((Strumenti!AB2/(AC4-AC3))+(Strumenti!AC2/(AB4-AB3)))</f>
        <v>#DIV/0!</v>
      </c>
      <c r="AO3" s="1"/>
      <c r="AP3" s="1"/>
      <c r="AQ3" s="1" t="e">
        <f>AP3/AO3</f>
        <v>#DIV/0!</v>
      </c>
      <c r="AR3" s="1" t="e">
        <f>AQ3*((Strumenti!AO2/AP3)+(Strumenti!AP2/AO3))</f>
        <v>#DIV/0!</v>
      </c>
      <c r="AS3" s="1" t="e">
        <f>(AP4-AP3)/(AO4-AO3)</f>
        <v>#DIV/0!</v>
      </c>
      <c r="AT3" s="1" t="e">
        <f>AS3*((Strumenti!AO2/(AP4-AP3))+(Strumenti!AP2/(AO4-AO3)))</f>
        <v>#DIV/0!</v>
      </c>
    </row>
    <row r="4" spans="1:46" x14ac:dyDescent="0.3">
      <c r="A4" s="1"/>
      <c r="B4" s="1"/>
      <c r="C4" s="1" t="e">
        <f t="shared" ref="C4:C37" si="0">B4/A4</f>
        <v>#DIV/0!</v>
      </c>
      <c r="D4" s="1" t="e">
        <f>C4*((Strumenti!A3/B4)+(Strumenti!B3/A4))</f>
        <v>#DIV/0!</v>
      </c>
      <c r="E4" s="1" t="e">
        <f>(B5-B4)/(A5-A4)</f>
        <v>#DIV/0!</v>
      </c>
      <c r="F4" s="1" t="e">
        <f>E4*((Strumenti!A3/(B5-B4))+(Strumenti!B3/(A5-A4)))</f>
        <v>#DIV/0!</v>
      </c>
      <c r="O4" s="1"/>
      <c r="P4" s="1"/>
      <c r="Q4" s="1" t="e">
        <f t="shared" ref="Q4:Q37" si="1">P4/O4</f>
        <v>#DIV/0!</v>
      </c>
      <c r="R4" s="1" t="e">
        <f>Q4*((Strumenti!O3/P4)+(Strumenti!P3/O4))</f>
        <v>#DIV/0!</v>
      </c>
      <c r="S4" s="1" t="e">
        <f>(P5-P4)/(O5-O4)</f>
        <v>#DIV/0!</v>
      </c>
      <c r="T4" s="1" t="e">
        <f>S4*((Strumenti!O3/(P5-P4))+(Strumenti!P3/(O5-O4)))</f>
        <v>#DIV/0!</v>
      </c>
      <c r="AB4" s="1"/>
      <c r="AC4" s="1"/>
      <c r="AD4" s="1" t="e">
        <f t="shared" ref="AD4:AD37" si="2">AC4/AB4</f>
        <v>#DIV/0!</v>
      </c>
      <c r="AE4" s="1" t="e">
        <f>AD4*((Strumenti!AB3/AC4)+(Strumenti!AC3/AB4))</f>
        <v>#DIV/0!</v>
      </c>
      <c r="AF4" s="1" t="e">
        <f>(AC5-AC4)/(AB5-AB4)</f>
        <v>#DIV/0!</v>
      </c>
      <c r="AG4" s="1" t="e">
        <f>AF4*((Strumenti!AB3/(AC5-AC4))+(Strumenti!AC3/(AB5-AB4)))</f>
        <v>#DIV/0!</v>
      </c>
      <c r="AO4" s="1"/>
      <c r="AP4" s="1"/>
      <c r="AQ4" s="1" t="e">
        <f t="shared" ref="AQ4:AQ37" si="3">AP4/AO4</f>
        <v>#DIV/0!</v>
      </c>
      <c r="AR4" s="1" t="e">
        <f>AQ4*((Strumenti!AO3/AP4)+(Strumenti!AP3/AO4))</f>
        <v>#DIV/0!</v>
      </c>
      <c r="AS4" s="1" t="e">
        <f>(AP5-AP4)/(AO5-AO4)</f>
        <v>#DIV/0!</v>
      </c>
      <c r="AT4" s="1" t="e">
        <f>AS4*((Strumenti!AO3/(AP5-AP4))+(Strumenti!AP3/(AO5-AO4)))</f>
        <v>#DIV/0!</v>
      </c>
    </row>
    <row r="5" spans="1:46" x14ac:dyDescent="0.3">
      <c r="A5" s="1"/>
      <c r="B5" s="1"/>
      <c r="C5" s="1" t="e">
        <f t="shared" si="0"/>
        <v>#DIV/0!</v>
      </c>
      <c r="D5" s="1" t="e">
        <f>C5*((Strumenti!A4/B5)+(Strumenti!B4/A5))</f>
        <v>#DIV/0!</v>
      </c>
      <c r="E5" s="1" t="e">
        <f>(B6-B5)/(A6-A5)</f>
        <v>#DIV/0!</v>
      </c>
      <c r="F5" s="1" t="e">
        <f>E5*((Strumenti!A4/(B6-B5))+(Strumenti!B4/(A6-A5)))</f>
        <v>#DIV/0!</v>
      </c>
      <c r="O5" s="1"/>
      <c r="P5" s="1"/>
      <c r="Q5" s="1" t="e">
        <f t="shared" si="1"/>
        <v>#DIV/0!</v>
      </c>
      <c r="R5" s="1" t="e">
        <f>Q5*((Strumenti!O4/P5)+(Strumenti!P4/O5))</f>
        <v>#DIV/0!</v>
      </c>
      <c r="S5" s="1" t="e">
        <f>(P6-P5)/(O6-O5)</f>
        <v>#DIV/0!</v>
      </c>
      <c r="T5" s="1" t="e">
        <f>S5*((Strumenti!O4/(P6-P5))+(Strumenti!P4/(O6-O5)))</f>
        <v>#DIV/0!</v>
      </c>
      <c r="AB5" s="1"/>
      <c r="AC5" s="1"/>
      <c r="AD5" s="1" t="e">
        <f t="shared" si="2"/>
        <v>#DIV/0!</v>
      </c>
      <c r="AE5" s="1" t="e">
        <f>AD5*((Strumenti!AB4/AC5)+(Strumenti!AC4/AB5))</f>
        <v>#DIV/0!</v>
      </c>
      <c r="AF5" s="1" t="e">
        <f>(AC6-AC5)/(AB6-AB5)</f>
        <v>#DIV/0!</v>
      </c>
      <c r="AG5" s="1" t="e">
        <f>AF5*((Strumenti!AB4/(AC6-AC5))+(Strumenti!AC4/(AB6-AB5)))</f>
        <v>#DIV/0!</v>
      </c>
      <c r="AO5" s="1"/>
      <c r="AP5" s="1"/>
      <c r="AQ5" s="1" t="e">
        <f t="shared" si="3"/>
        <v>#DIV/0!</v>
      </c>
      <c r="AR5" s="1" t="e">
        <f>AQ5*((Strumenti!AO4/AP5)+(Strumenti!AP4/AO5))</f>
        <v>#DIV/0!</v>
      </c>
      <c r="AS5" s="1" t="e">
        <f>(AP6-AP5)/(AO6-AO5)</f>
        <v>#DIV/0!</v>
      </c>
      <c r="AT5" s="1" t="e">
        <f>AS5*((Strumenti!AO4/(AP6-AP5))+(Strumenti!AP4/(AO6-AO5)))</f>
        <v>#DIV/0!</v>
      </c>
    </row>
    <row r="6" spans="1:46" x14ac:dyDescent="0.3">
      <c r="A6" s="1"/>
      <c r="B6" s="1"/>
      <c r="C6" s="1" t="e">
        <f t="shared" si="0"/>
        <v>#DIV/0!</v>
      </c>
      <c r="D6" s="1" t="e">
        <f>C6*((Strumenti!A5/B6)+(Strumenti!B5/A6))</f>
        <v>#DIV/0!</v>
      </c>
      <c r="E6" s="1" t="e">
        <f>(B7-B6)/(A7-A6)</f>
        <v>#DIV/0!</v>
      </c>
      <c r="F6" s="1" t="e">
        <f>E6*((Strumenti!A5/(B7-B6))+(Strumenti!B5/(A7-A6)))</f>
        <v>#DIV/0!</v>
      </c>
      <c r="O6" s="1"/>
      <c r="P6" s="1"/>
      <c r="Q6" s="1" t="e">
        <f t="shared" si="1"/>
        <v>#DIV/0!</v>
      </c>
      <c r="R6" s="1" t="e">
        <f>Q6*((Strumenti!O5/P6)+(Strumenti!P5/O6))</f>
        <v>#DIV/0!</v>
      </c>
      <c r="S6" s="1" t="e">
        <f>(P7-P6)/(O7-O6)</f>
        <v>#DIV/0!</v>
      </c>
      <c r="T6" s="1" t="e">
        <f>S6*((Strumenti!O5/(P7-P6))+(Strumenti!P5/(O7-O6)))</f>
        <v>#DIV/0!</v>
      </c>
      <c r="AB6" s="1"/>
      <c r="AC6" s="1"/>
      <c r="AD6" s="1" t="e">
        <f t="shared" si="2"/>
        <v>#DIV/0!</v>
      </c>
      <c r="AE6" s="1" t="e">
        <f>AD6*((Strumenti!AB5/AC6)+(Strumenti!AC5/AB6))</f>
        <v>#DIV/0!</v>
      </c>
      <c r="AF6" s="1" t="e">
        <f>(AC7-AC6)/(AB7-AB6)</f>
        <v>#DIV/0!</v>
      </c>
      <c r="AG6" s="1" t="e">
        <f>AF6*((Strumenti!AB5/(AC7-AC6))+(Strumenti!AC5/(AB7-AB6)))</f>
        <v>#DIV/0!</v>
      </c>
      <c r="AO6" s="1"/>
      <c r="AP6" s="1"/>
      <c r="AQ6" s="1" t="e">
        <f t="shared" si="3"/>
        <v>#DIV/0!</v>
      </c>
      <c r="AR6" s="1" t="e">
        <f>AQ6*((Strumenti!AO5/AP6)+(Strumenti!AP5/AO6))</f>
        <v>#DIV/0!</v>
      </c>
      <c r="AS6" s="1" t="e">
        <f>(AP7-AP6)/(AO7-AO6)</f>
        <v>#DIV/0!</v>
      </c>
      <c r="AT6" s="1" t="e">
        <f>AS6*((Strumenti!AO5/(AP7-AP6))+(Strumenti!AP5/(AO7-AO6)))</f>
        <v>#DIV/0!</v>
      </c>
    </row>
    <row r="7" spans="1:46" x14ac:dyDescent="0.3">
      <c r="A7" s="1"/>
      <c r="B7" s="1"/>
      <c r="C7" s="1" t="e">
        <f t="shared" si="0"/>
        <v>#DIV/0!</v>
      </c>
      <c r="D7" s="1" t="e">
        <f>C7*((Strumenti!A6/B7)+(Strumenti!B6/A7))</f>
        <v>#DIV/0!</v>
      </c>
      <c r="E7" s="1" t="e">
        <f>(B8-B7)/(A8-A7)</f>
        <v>#DIV/0!</v>
      </c>
      <c r="F7" s="1" t="e">
        <f>E7*((Strumenti!A6/(B8-B7))+(Strumenti!B6/(A8-A7)))</f>
        <v>#DIV/0!</v>
      </c>
      <c r="O7" s="1"/>
      <c r="P7" s="1"/>
      <c r="Q7" s="1" t="e">
        <f t="shared" si="1"/>
        <v>#DIV/0!</v>
      </c>
      <c r="R7" s="1" t="e">
        <f>Q7*((Strumenti!O6/P7)+(Strumenti!P6/O7))</f>
        <v>#DIV/0!</v>
      </c>
      <c r="S7" s="1" t="e">
        <f>(P8-P7)/(O8-O7)</f>
        <v>#DIV/0!</v>
      </c>
      <c r="T7" s="1" t="e">
        <f>S7*((Strumenti!O6/(P8-P7))+(Strumenti!P6/(O8-O7)))</f>
        <v>#DIV/0!</v>
      </c>
      <c r="AB7" s="1"/>
      <c r="AC7" s="1"/>
      <c r="AD7" s="1" t="e">
        <f t="shared" si="2"/>
        <v>#DIV/0!</v>
      </c>
      <c r="AE7" s="1" t="e">
        <f>AD7*((Strumenti!AB6/AC7)+(Strumenti!AC6/AB7))</f>
        <v>#DIV/0!</v>
      </c>
      <c r="AF7" s="1" t="e">
        <f>(AC8-AC7)/(AB8-AB7)</f>
        <v>#DIV/0!</v>
      </c>
      <c r="AG7" s="1" t="e">
        <f>AF7*((Strumenti!AB6/(AC8-AC7))+(Strumenti!AC6/(AB8-AB7)))</f>
        <v>#DIV/0!</v>
      </c>
      <c r="AO7" s="1"/>
      <c r="AP7" s="1"/>
      <c r="AQ7" s="1" t="e">
        <f t="shared" si="3"/>
        <v>#DIV/0!</v>
      </c>
      <c r="AR7" s="1" t="e">
        <f>AQ7*((Strumenti!AO6/AP7)+(Strumenti!AP6/AO7))</f>
        <v>#DIV/0!</v>
      </c>
      <c r="AS7" s="1" t="e">
        <f>(AP8-AP7)/(AO8-AO7)</f>
        <v>#DIV/0!</v>
      </c>
      <c r="AT7" s="1" t="e">
        <f>AS7*((Strumenti!AO6/(AP8-AP7))+(Strumenti!AP6/(AO8-AO7)))</f>
        <v>#DIV/0!</v>
      </c>
    </row>
    <row r="8" spans="1:46" x14ac:dyDescent="0.3">
      <c r="A8" s="1"/>
      <c r="B8" s="1"/>
      <c r="C8" s="1" t="e">
        <f t="shared" si="0"/>
        <v>#DIV/0!</v>
      </c>
      <c r="D8" s="1" t="e">
        <f>C8*((Strumenti!A7/B8)+(Strumenti!B7/A8))</f>
        <v>#DIV/0!</v>
      </c>
      <c r="E8" s="1" t="e">
        <f>(B9-B8)/(A9-A8)</f>
        <v>#DIV/0!</v>
      </c>
      <c r="F8" s="1" t="e">
        <f>E8*((Strumenti!A7/(B9-B8))+(Strumenti!B7/(A9-A8)))</f>
        <v>#DIV/0!</v>
      </c>
      <c r="O8" s="1"/>
      <c r="P8" s="1"/>
      <c r="Q8" s="1" t="e">
        <f t="shared" si="1"/>
        <v>#DIV/0!</v>
      </c>
      <c r="R8" s="1" t="e">
        <f>Q8*((Strumenti!O7/P8)+(Strumenti!P7/O8))</f>
        <v>#DIV/0!</v>
      </c>
      <c r="S8" s="1" t="e">
        <f>(P9-P8)/(O9-O8)</f>
        <v>#DIV/0!</v>
      </c>
      <c r="T8" s="1" t="e">
        <f>S8*((Strumenti!O7/(P9-P8))+(Strumenti!P7/(O9-O8)))</f>
        <v>#DIV/0!</v>
      </c>
      <c r="AB8" s="1"/>
      <c r="AC8" s="1"/>
      <c r="AD8" s="1" t="e">
        <f t="shared" si="2"/>
        <v>#DIV/0!</v>
      </c>
      <c r="AE8" s="1" t="e">
        <f>AD8*((Strumenti!AB7/AC8)+(Strumenti!AC7/AB8))</f>
        <v>#DIV/0!</v>
      </c>
      <c r="AF8" s="1" t="e">
        <f>(AC9-AC8)/(AB9-AB8)</f>
        <v>#DIV/0!</v>
      </c>
      <c r="AG8" s="1" t="e">
        <f>AF8*((Strumenti!AB7/(AC9-AC8))+(Strumenti!AC7/(AB9-AB8)))</f>
        <v>#DIV/0!</v>
      </c>
      <c r="AO8" s="1"/>
      <c r="AP8" s="1"/>
      <c r="AQ8" s="1" t="e">
        <f t="shared" si="3"/>
        <v>#DIV/0!</v>
      </c>
      <c r="AR8" s="1" t="e">
        <f>AQ8*((Strumenti!AO7/AP8)+(Strumenti!AP7/AO8))</f>
        <v>#DIV/0!</v>
      </c>
      <c r="AS8" s="1" t="e">
        <f>(AP9-AP8)/(AO9-AO8)</f>
        <v>#DIV/0!</v>
      </c>
      <c r="AT8" s="1" t="e">
        <f>AS8*((Strumenti!AO7/(AP9-AP8))+(Strumenti!AP7/(AO9-AO8)))</f>
        <v>#DIV/0!</v>
      </c>
    </row>
    <row r="9" spans="1:46" x14ac:dyDescent="0.3">
      <c r="A9" s="1"/>
      <c r="B9" s="1"/>
      <c r="C9" s="1" t="e">
        <f t="shared" si="0"/>
        <v>#DIV/0!</v>
      </c>
      <c r="D9" s="1" t="e">
        <f>C9*((Strumenti!A8/B9)+(Strumenti!B8/A9))</f>
        <v>#DIV/0!</v>
      </c>
      <c r="E9" s="1" t="e">
        <f>(B10-B9)/(A10-A9)</f>
        <v>#DIV/0!</v>
      </c>
      <c r="F9" s="1" t="e">
        <f>E9*((Strumenti!A8/(B10-B9))+(Strumenti!B8/(A10-A9)))</f>
        <v>#DIV/0!</v>
      </c>
      <c r="O9" s="1"/>
      <c r="P9" s="1"/>
      <c r="Q9" s="1" t="e">
        <f t="shared" si="1"/>
        <v>#DIV/0!</v>
      </c>
      <c r="R9" s="1" t="e">
        <f>Q9*((Strumenti!O8/P9)+(Strumenti!P8/O9))</f>
        <v>#DIV/0!</v>
      </c>
      <c r="S9" s="1" t="e">
        <f>(P10-P9)/(O10-O9)</f>
        <v>#DIV/0!</v>
      </c>
      <c r="T9" s="1" t="e">
        <f>S9*((Strumenti!O8/(P10-P9))+(Strumenti!P8/(O10-O9)))</f>
        <v>#DIV/0!</v>
      </c>
      <c r="AB9" s="1"/>
      <c r="AC9" s="1"/>
      <c r="AD9" s="1" t="e">
        <f t="shared" si="2"/>
        <v>#DIV/0!</v>
      </c>
      <c r="AE9" s="1" t="e">
        <f>AD9*((Strumenti!AB8/AC9)+(Strumenti!AC8/AB9))</f>
        <v>#DIV/0!</v>
      </c>
      <c r="AF9" s="1" t="e">
        <f>(AC10-AC9)/(AB10-AB9)</f>
        <v>#DIV/0!</v>
      </c>
      <c r="AG9" s="1" t="e">
        <f>AF9*((Strumenti!AB8/(AC10-AC9))+(Strumenti!AC8/(AB10-AB9)))</f>
        <v>#DIV/0!</v>
      </c>
      <c r="AO9" s="1"/>
      <c r="AP9" s="1"/>
      <c r="AQ9" s="1" t="e">
        <f t="shared" si="3"/>
        <v>#DIV/0!</v>
      </c>
      <c r="AR9" s="1" t="e">
        <f>AQ9*((Strumenti!AO8/AP9)+(Strumenti!AP8/AO9))</f>
        <v>#DIV/0!</v>
      </c>
      <c r="AS9" s="1" t="e">
        <f>(AP10-AP9)/(AO10-AO9)</f>
        <v>#DIV/0!</v>
      </c>
      <c r="AT9" s="1" t="e">
        <f>AS9*((Strumenti!AO8/(AP10-AP9))+(Strumenti!AP8/(AO10-AO9)))</f>
        <v>#DIV/0!</v>
      </c>
    </row>
    <row r="10" spans="1:46" x14ac:dyDescent="0.3">
      <c r="A10" s="1"/>
      <c r="B10" s="1"/>
      <c r="C10" s="1" t="e">
        <f t="shared" si="0"/>
        <v>#DIV/0!</v>
      </c>
      <c r="D10" s="1" t="e">
        <f>C10*((Strumenti!A9/B10)+(Strumenti!B9/A10))</f>
        <v>#DIV/0!</v>
      </c>
      <c r="E10" s="1" t="e">
        <f>(B11-B10)/(A11-A10)</f>
        <v>#DIV/0!</v>
      </c>
      <c r="F10" s="1" t="e">
        <f>E10*((Strumenti!A9/(B11-B10))+(Strumenti!B9/(A11-A10)))</f>
        <v>#DIV/0!</v>
      </c>
      <c r="O10" s="1"/>
      <c r="P10" s="1"/>
      <c r="Q10" s="1" t="e">
        <f t="shared" si="1"/>
        <v>#DIV/0!</v>
      </c>
      <c r="R10" s="1" t="e">
        <f>Q10*((Strumenti!O9/P10)+(Strumenti!P9/O10))</f>
        <v>#DIV/0!</v>
      </c>
      <c r="S10" s="1" t="e">
        <f>(P11-P10)/(O11-O10)</f>
        <v>#DIV/0!</v>
      </c>
      <c r="T10" s="1" t="e">
        <f>S10*((Strumenti!O9/(P11-P10))+(Strumenti!P9/(O11-O10)))</f>
        <v>#DIV/0!</v>
      </c>
      <c r="AB10" s="1"/>
      <c r="AC10" s="1"/>
      <c r="AD10" s="1" t="e">
        <f t="shared" si="2"/>
        <v>#DIV/0!</v>
      </c>
      <c r="AE10" s="1" t="e">
        <f>AD10*((Strumenti!AB9/AC10)+(Strumenti!AC9/AB10))</f>
        <v>#DIV/0!</v>
      </c>
      <c r="AF10" s="1" t="e">
        <f>(AC11-AC10)/(AB11-AB10)</f>
        <v>#DIV/0!</v>
      </c>
      <c r="AG10" s="1" t="e">
        <f>AF10*((Strumenti!AB9/(AC11-AC10))+(Strumenti!AC9/(AB11-AB10)))</f>
        <v>#DIV/0!</v>
      </c>
      <c r="AO10" s="1"/>
      <c r="AP10" s="1"/>
      <c r="AQ10" s="1" t="e">
        <f t="shared" si="3"/>
        <v>#DIV/0!</v>
      </c>
      <c r="AR10" s="1" t="e">
        <f>AQ10*((Strumenti!AO9/AP10)+(Strumenti!AP9/AO10))</f>
        <v>#DIV/0!</v>
      </c>
      <c r="AS10" s="1" t="e">
        <f>(AP11-AP10)/(AO11-AO10)</f>
        <v>#DIV/0!</v>
      </c>
      <c r="AT10" s="1" t="e">
        <f>AS10*((Strumenti!AO9/(AP11-AP10))+(Strumenti!AP9/(AO11-AO10)))</f>
        <v>#DIV/0!</v>
      </c>
    </row>
    <row r="11" spans="1:46" x14ac:dyDescent="0.3">
      <c r="A11" s="1"/>
      <c r="B11" s="1"/>
      <c r="C11" s="1" t="e">
        <f t="shared" si="0"/>
        <v>#DIV/0!</v>
      </c>
      <c r="D11" s="1" t="e">
        <f>C11*((Strumenti!A10/B11)+(Strumenti!B10/A11))</f>
        <v>#DIV/0!</v>
      </c>
      <c r="E11" s="1" t="e">
        <f>(B12-B11)/(A12-A11)</f>
        <v>#DIV/0!</v>
      </c>
      <c r="F11" s="1" t="e">
        <f>E11*((Strumenti!A10/(B12-B11))+(Strumenti!B10/(A12-A11)))</f>
        <v>#DIV/0!</v>
      </c>
      <c r="O11" s="1"/>
      <c r="P11" s="1"/>
      <c r="Q11" s="1" t="e">
        <f t="shared" si="1"/>
        <v>#DIV/0!</v>
      </c>
      <c r="R11" s="1" t="e">
        <f>Q11*((Strumenti!O10/P11)+(Strumenti!P10/O11))</f>
        <v>#DIV/0!</v>
      </c>
      <c r="S11" s="1" t="e">
        <f>(P12-P11)/(O12-O11)</f>
        <v>#DIV/0!</v>
      </c>
      <c r="T11" s="1" t="e">
        <f>S11*((Strumenti!O10/(P12-P11))+(Strumenti!P10/(O12-O11)))</f>
        <v>#DIV/0!</v>
      </c>
      <c r="AB11" s="1"/>
      <c r="AC11" s="1"/>
      <c r="AD11" s="1" t="e">
        <f t="shared" si="2"/>
        <v>#DIV/0!</v>
      </c>
      <c r="AE11" s="1" t="e">
        <f>AD11*((Strumenti!AB10/AC11)+(Strumenti!AC10/AB11))</f>
        <v>#DIV/0!</v>
      </c>
      <c r="AF11" s="1" t="e">
        <f>(AC12-AC11)/(AB12-AB11)</f>
        <v>#DIV/0!</v>
      </c>
      <c r="AG11" s="1" t="e">
        <f>AF11*((Strumenti!AB10/(AC12-AC11))+(Strumenti!AC10/(AB12-AB11)))</f>
        <v>#DIV/0!</v>
      </c>
      <c r="AO11" s="1"/>
      <c r="AP11" s="1"/>
      <c r="AQ11" s="1" t="e">
        <f t="shared" si="3"/>
        <v>#DIV/0!</v>
      </c>
      <c r="AR11" s="1" t="e">
        <f>AQ11*((Strumenti!AO10/AP11)+(Strumenti!AP10/AO11))</f>
        <v>#DIV/0!</v>
      </c>
      <c r="AS11" s="1" t="e">
        <f>(AP12-AP11)/(AO12-AO11)</f>
        <v>#DIV/0!</v>
      </c>
      <c r="AT11" s="1" t="e">
        <f>AS11*((Strumenti!AO10/(AP12-AP11))+(Strumenti!AP10/(AO12-AO11)))</f>
        <v>#DIV/0!</v>
      </c>
    </row>
    <row r="12" spans="1:46" x14ac:dyDescent="0.3">
      <c r="A12" s="1"/>
      <c r="B12" s="1"/>
      <c r="C12" s="1" t="e">
        <f t="shared" si="0"/>
        <v>#DIV/0!</v>
      </c>
      <c r="D12" s="1" t="e">
        <f>C12*((Strumenti!A11/B12)+(Strumenti!B11/A12))</f>
        <v>#DIV/0!</v>
      </c>
      <c r="E12" s="1" t="e">
        <f>(B13-B12)/(A13-A12)</f>
        <v>#DIV/0!</v>
      </c>
      <c r="F12" s="1" t="e">
        <f>E12*((Strumenti!A11/(B13-B12))+(Strumenti!B11/(A13-A12)))</f>
        <v>#DIV/0!</v>
      </c>
      <c r="O12" s="1"/>
      <c r="P12" s="1"/>
      <c r="Q12" s="1" t="e">
        <f t="shared" si="1"/>
        <v>#DIV/0!</v>
      </c>
      <c r="R12" s="1" t="e">
        <f>Q12*((Strumenti!O11/P12)+(Strumenti!P11/O12))</f>
        <v>#DIV/0!</v>
      </c>
      <c r="S12" s="1" t="e">
        <f>(P13-P12)/(O13-O12)</f>
        <v>#DIV/0!</v>
      </c>
      <c r="T12" s="1" t="e">
        <f>S12*((Strumenti!O11/(P13-P12))+(Strumenti!P11/(O13-O12)))</f>
        <v>#DIV/0!</v>
      </c>
      <c r="AB12" s="1"/>
      <c r="AC12" s="1"/>
      <c r="AD12" s="1" t="e">
        <f t="shared" si="2"/>
        <v>#DIV/0!</v>
      </c>
      <c r="AE12" s="1" t="e">
        <f>AD12*((Strumenti!AB11/AC12)+(Strumenti!AC11/AB12))</f>
        <v>#DIV/0!</v>
      </c>
      <c r="AF12" s="1" t="e">
        <f>(AC13-AC12)/(AB13-AB12)</f>
        <v>#DIV/0!</v>
      </c>
      <c r="AG12" s="1" t="e">
        <f>AF12*((Strumenti!AB11/(AC13-AC12))+(Strumenti!AC11/(AB13-AB12)))</f>
        <v>#DIV/0!</v>
      </c>
      <c r="AO12" s="1"/>
      <c r="AP12" s="1"/>
      <c r="AQ12" s="1" t="e">
        <f t="shared" si="3"/>
        <v>#DIV/0!</v>
      </c>
      <c r="AR12" s="1" t="e">
        <f>AQ12*((Strumenti!AO11/AP12)+(Strumenti!AP11/AO12))</f>
        <v>#DIV/0!</v>
      </c>
      <c r="AS12" s="1" t="e">
        <f>(AP13-AP12)/(AO13-AO12)</f>
        <v>#DIV/0!</v>
      </c>
      <c r="AT12" s="1" t="e">
        <f>AS12*((Strumenti!AO11/(AP13-AP12))+(Strumenti!AP11/(AO13-AO12)))</f>
        <v>#DIV/0!</v>
      </c>
    </row>
    <row r="13" spans="1:46" x14ac:dyDescent="0.3">
      <c r="A13" s="1"/>
      <c r="B13" s="1"/>
      <c r="C13" s="1" t="e">
        <f t="shared" si="0"/>
        <v>#DIV/0!</v>
      </c>
      <c r="D13" s="1" t="e">
        <f>C13*((Strumenti!A12/B13)+(Strumenti!B12/A13))</f>
        <v>#DIV/0!</v>
      </c>
      <c r="E13" s="1" t="e">
        <f>(B14-B13)/(A14-A13)</f>
        <v>#DIV/0!</v>
      </c>
      <c r="F13" s="1" t="e">
        <f>E13*((Strumenti!A12/(B14-B13))+(Strumenti!B12/(A14-A13)))</f>
        <v>#DIV/0!</v>
      </c>
      <c r="O13" s="1"/>
      <c r="P13" s="1"/>
      <c r="Q13" s="1" t="e">
        <f t="shared" si="1"/>
        <v>#DIV/0!</v>
      </c>
      <c r="R13" s="1" t="e">
        <f>Q13*((Strumenti!O12/P13)+(Strumenti!P12/O13))</f>
        <v>#DIV/0!</v>
      </c>
      <c r="S13" s="1" t="e">
        <f>(P14-P13)/(O14-O13)</f>
        <v>#DIV/0!</v>
      </c>
      <c r="T13" s="1" t="e">
        <f>S13*((Strumenti!O12/(P14-P13))+(Strumenti!P12/(O14-O13)))</f>
        <v>#DIV/0!</v>
      </c>
      <c r="AB13" s="1"/>
      <c r="AC13" s="1"/>
      <c r="AD13" s="1" t="e">
        <f t="shared" si="2"/>
        <v>#DIV/0!</v>
      </c>
      <c r="AE13" s="1" t="e">
        <f>AD13*((Strumenti!AB12/AC13)+(Strumenti!AC12/AB13))</f>
        <v>#DIV/0!</v>
      </c>
      <c r="AF13" s="1" t="e">
        <f>(AC14-AC13)/(AB14-AB13)</f>
        <v>#DIV/0!</v>
      </c>
      <c r="AG13" s="1" t="e">
        <f>AF13*((Strumenti!AB12/(AC14-AC13))+(Strumenti!AC12/(AB14-AB13)))</f>
        <v>#DIV/0!</v>
      </c>
      <c r="AO13" s="1"/>
      <c r="AP13" s="1"/>
      <c r="AQ13" s="1" t="e">
        <f t="shared" si="3"/>
        <v>#DIV/0!</v>
      </c>
      <c r="AR13" s="1" t="e">
        <f>AQ13*((Strumenti!AO12/AP13)+(Strumenti!AP12/AO13))</f>
        <v>#DIV/0!</v>
      </c>
      <c r="AS13" s="1" t="e">
        <f>(AP14-AP13)/(AO14-AO13)</f>
        <v>#DIV/0!</v>
      </c>
      <c r="AT13" s="1" t="e">
        <f>AS13*((Strumenti!AO12/(AP14-AP13))+(Strumenti!AP12/(AO14-AO13)))</f>
        <v>#DIV/0!</v>
      </c>
    </row>
    <row r="14" spans="1:46" x14ac:dyDescent="0.3">
      <c r="A14" s="1"/>
      <c r="B14" s="1"/>
      <c r="C14" s="1" t="e">
        <f t="shared" si="0"/>
        <v>#DIV/0!</v>
      </c>
      <c r="D14" s="1" t="e">
        <f>C14*((Strumenti!A13/B14)+(Strumenti!B13/A14))</f>
        <v>#DIV/0!</v>
      </c>
      <c r="E14" s="1" t="e">
        <f>(B15-B14)/(A15-A14)</f>
        <v>#DIV/0!</v>
      </c>
      <c r="F14" s="1" t="e">
        <f>E14*((Strumenti!A13/(B15-B14))+(Strumenti!B13/(A15-A14)))</f>
        <v>#DIV/0!</v>
      </c>
      <c r="O14" s="1"/>
      <c r="P14" s="1"/>
      <c r="Q14" s="1" t="e">
        <f t="shared" si="1"/>
        <v>#DIV/0!</v>
      </c>
      <c r="R14" s="1" t="e">
        <f>Q14*((Strumenti!O13/P14)+(Strumenti!P13/O14))</f>
        <v>#DIV/0!</v>
      </c>
      <c r="S14" s="1" t="e">
        <f>(P15-P14)/(O15-O14)</f>
        <v>#DIV/0!</v>
      </c>
      <c r="T14" s="1" t="e">
        <f>S14*((Strumenti!O13/(P15-P14))+(Strumenti!P13/(O15-O14)))</f>
        <v>#DIV/0!</v>
      </c>
      <c r="AB14" s="1"/>
      <c r="AC14" s="1"/>
      <c r="AD14" s="1" t="e">
        <f t="shared" si="2"/>
        <v>#DIV/0!</v>
      </c>
      <c r="AE14" s="1" t="e">
        <f>AD14*((Strumenti!AB13/AC14)+(Strumenti!AC13/AB14))</f>
        <v>#DIV/0!</v>
      </c>
      <c r="AF14" s="1" t="e">
        <f>(AC15-AC14)/(AB15-AB14)</f>
        <v>#DIV/0!</v>
      </c>
      <c r="AG14" s="1" t="e">
        <f>AF14*((Strumenti!AB13/(AC15-AC14))+(Strumenti!AC13/(AB15-AB14)))</f>
        <v>#DIV/0!</v>
      </c>
      <c r="AO14" s="1"/>
      <c r="AP14" s="1"/>
      <c r="AQ14" s="1" t="e">
        <f t="shared" si="3"/>
        <v>#DIV/0!</v>
      </c>
      <c r="AR14" s="1" t="e">
        <f>AQ14*((Strumenti!AO13/AP14)+(Strumenti!AP13/AO14))</f>
        <v>#DIV/0!</v>
      </c>
      <c r="AS14" s="1" t="e">
        <f>(AP15-AP14)/(AO15-AO14)</f>
        <v>#DIV/0!</v>
      </c>
      <c r="AT14" s="1" t="e">
        <f>AS14*((Strumenti!AO13/(AP15-AP14))+(Strumenti!AP13/(AO15-AO14)))</f>
        <v>#DIV/0!</v>
      </c>
    </row>
    <row r="15" spans="1:46" x14ac:dyDescent="0.3">
      <c r="A15" s="1"/>
      <c r="B15" s="1"/>
      <c r="C15" s="1" t="e">
        <f t="shared" si="0"/>
        <v>#DIV/0!</v>
      </c>
      <c r="D15" s="1" t="e">
        <f>C15*((Strumenti!A14/B15)+(Strumenti!B14/A15))</f>
        <v>#DIV/0!</v>
      </c>
      <c r="E15" s="1" t="e">
        <f>(B16-B15)/(A16-A15)</f>
        <v>#DIV/0!</v>
      </c>
      <c r="F15" s="1" t="e">
        <f>E15*((Strumenti!A14/(B16-B15))+(Strumenti!B14/(A16-A15)))</f>
        <v>#DIV/0!</v>
      </c>
      <c r="O15" s="1"/>
      <c r="P15" s="1"/>
      <c r="Q15" s="1" t="e">
        <f t="shared" si="1"/>
        <v>#DIV/0!</v>
      </c>
      <c r="R15" s="1" t="e">
        <f>Q15*((Strumenti!O14/P15)+(Strumenti!P14/O15))</f>
        <v>#DIV/0!</v>
      </c>
      <c r="S15" s="1" t="e">
        <f>(P16-P15)/(O16-O15)</f>
        <v>#DIV/0!</v>
      </c>
      <c r="T15" s="1" t="e">
        <f>S15*((Strumenti!O14/(P16-P15))+(Strumenti!P14/(O16-O15)))</f>
        <v>#DIV/0!</v>
      </c>
      <c r="AB15" s="1"/>
      <c r="AC15" s="1"/>
      <c r="AD15" s="1" t="e">
        <f t="shared" si="2"/>
        <v>#DIV/0!</v>
      </c>
      <c r="AE15" s="1" t="e">
        <f>AD15*((Strumenti!AB14/AC15)+(Strumenti!AC14/AB15))</f>
        <v>#DIV/0!</v>
      </c>
      <c r="AF15" s="1" t="e">
        <f>(AC16-AC15)/(AB16-AB15)</f>
        <v>#DIV/0!</v>
      </c>
      <c r="AG15" s="1" t="e">
        <f>AF15*((Strumenti!AB14/(AC16-AC15))+(Strumenti!AC14/(AB16-AB15)))</f>
        <v>#DIV/0!</v>
      </c>
      <c r="AO15" s="1"/>
      <c r="AP15" s="1"/>
      <c r="AQ15" s="1" t="e">
        <f t="shared" si="3"/>
        <v>#DIV/0!</v>
      </c>
      <c r="AR15" s="1" t="e">
        <f>AQ15*((Strumenti!AO14/AP15)+(Strumenti!AP14/AO15))</f>
        <v>#DIV/0!</v>
      </c>
      <c r="AS15" s="1" t="e">
        <f>(AP16-AP15)/(AO16-AO15)</f>
        <v>#DIV/0!</v>
      </c>
      <c r="AT15" s="1" t="e">
        <f>AS15*((Strumenti!AO14/(AP16-AP15))+(Strumenti!AP14/(AO16-AO15)))</f>
        <v>#DIV/0!</v>
      </c>
    </row>
    <row r="16" spans="1:46" x14ac:dyDescent="0.3">
      <c r="A16" s="1"/>
      <c r="B16" s="1"/>
      <c r="C16" s="1" t="e">
        <f t="shared" si="0"/>
        <v>#DIV/0!</v>
      </c>
      <c r="D16" s="1" t="e">
        <f>C16*((Strumenti!A15/B16)+(Strumenti!B15/A16))</f>
        <v>#DIV/0!</v>
      </c>
      <c r="E16" s="1" t="e">
        <f>(B17-B16)/(A17-A16)</f>
        <v>#DIV/0!</v>
      </c>
      <c r="F16" s="1" t="e">
        <f>E16*((Strumenti!A15/(B17-B16))+(Strumenti!B15/(A17-A16)))</f>
        <v>#DIV/0!</v>
      </c>
      <c r="O16" s="1"/>
      <c r="P16" s="1"/>
      <c r="Q16" s="1" t="e">
        <f t="shared" si="1"/>
        <v>#DIV/0!</v>
      </c>
      <c r="R16" s="1" t="e">
        <f>Q16*((Strumenti!O15/P16)+(Strumenti!P15/O16))</f>
        <v>#DIV/0!</v>
      </c>
      <c r="S16" s="1" t="e">
        <f>(P17-P16)/(O17-O16)</f>
        <v>#DIV/0!</v>
      </c>
      <c r="T16" s="1" t="e">
        <f>S16*((Strumenti!O15/(P17-P16))+(Strumenti!P15/(O17-O16)))</f>
        <v>#DIV/0!</v>
      </c>
      <c r="AB16" s="1"/>
      <c r="AC16" s="1"/>
      <c r="AD16" s="1" t="e">
        <f t="shared" si="2"/>
        <v>#DIV/0!</v>
      </c>
      <c r="AE16" s="1" t="e">
        <f>AD16*((Strumenti!AB15/AC16)+(Strumenti!AC15/AB16))</f>
        <v>#DIV/0!</v>
      </c>
      <c r="AF16" s="1" t="e">
        <f>(AC17-AC16)/(AB17-AB16)</f>
        <v>#DIV/0!</v>
      </c>
      <c r="AG16" s="1" t="e">
        <f>AF16*((Strumenti!AB15/(AC17-AC16))+(Strumenti!AC15/(AB17-AB16)))</f>
        <v>#DIV/0!</v>
      </c>
      <c r="AO16" s="1"/>
      <c r="AP16" s="1"/>
      <c r="AQ16" s="1" t="e">
        <f t="shared" si="3"/>
        <v>#DIV/0!</v>
      </c>
      <c r="AR16" s="1" t="e">
        <f>AQ16*((Strumenti!AO15/AP16)+(Strumenti!AP15/AO16))</f>
        <v>#DIV/0!</v>
      </c>
      <c r="AS16" s="1" t="e">
        <f>(AP17-AP16)/(AO17-AO16)</f>
        <v>#DIV/0!</v>
      </c>
      <c r="AT16" s="1" t="e">
        <f>AS16*((Strumenti!AO15/(AP17-AP16))+(Strumenti!AP15/(AO17-AO16)))</f>
        <v>#DIV/0!</v>
      </c>
    </row>
    <row r="17" spans="1:46" x14ac:dyDescent="0.3">
      <c r="A17" s="1"/>
      <c r="B17" s="1"/>
      <c r="C17" s="1" t="e">
        <f t="shared" si="0"/>
        <v>#DIV/0!</v>
      </c>
      <c r="D17" s="1" t="e">
        <f>C17*((Strumenti!A16/B17)+(Strumenti!B16/A17))</f>
        <v>#DIV/0!</v>
      </c>
      <c r="E17" s="1" t="e">
        <f>(B18-B17)/(A18-A17)</f>
        <v>#DIV/0!</v>
      </c>
      <c r="F17" s="1" t="e">
        <f>E17*((Strumenti!A16/(B18-B17))+(Strumenti!B16/(A18-A17)))</f>
        <v>#DIV/0!</v>
      </c>
      <c r="O17" s="1"/>
      <c r="P17" s="1"/>
      <c r="Q17" s="1" t="e">
        <f t="shared" si="1"/>
        <v>#DIV/0!</v>
      </c>
      <c r="R17" s="1" t="e">
        <f>Q17*((Strumenti!O16/P17)+(Strumenti!P16/O17))</f>
        <v>#DIV/0!</v>
      </c>
      <c r="S17" s="1" t="e">
        <f>(P18-P17)/(O18-O17)</f>
        <v>#DIV/0!</v>
      </c>
      <c r="T17" s="1" t="e">
        <f>S17*((Strumenti!O16/(P18-P17))+(Strumenti!P16/(O18-O17)))</f>
        <v>#DIV/0!</v>
      </c>
      <c r="AB17" s="1"/>
      <c r="AC17" s="1"/>
      <c r="AD17" s="1" t="e">
        <f t="shared" si="2"/>
        <v>#DIV/0!</v>
      </c>
      <c r="AE17" s="1" t="e">
        <f>AD17*((Strumenti!AB16/AC17)+(Strumenti!AC16/AB17))</f>
        <v>#DIV/0!</v>
      </c>
      <c r="AF17" s="1" t="e">
        <f>(AC18-AC17)/(AB18-AB17)</f>
        <v>#DIV/0!</v>
      </c>
      <c r="AG17" s="1" t="e">
        <f>AF17*((Strumenti!AB16/(AC18-AC17))+(Strumenti!AC16/(AB18-AB17)))</f>
        <v>#DIV/0!</v>
      </c>
      <c r="AO17" s="1"/>
      <c r="AP17" s="1"/>
      <c r="AQ17" s="1" t="e">
        <f t="shared" si="3"/>
        <v>#DIV/0!</v>
      </c>
      <c r="AR17" s="1" t="e">
        <f>AQ17*((Strumenti!AO16/AP17)+(Strumenti!AP16/AO17))</f>
        <v>#DIV/0!</v>
      </c>
      <c r="AS17" s="1" t="e">
        <f>(AP18-AP17)/(AO18-AO17)</f>
        <v>#DIV/0!</v>
      </c>
      <c r="AT17" s="1" t="e">
        <f>AS17*((Strumenti!AO16/(AP18-AP17))+(Strumenti!AP16/(AO18-AO17)))</f>
        <v>#DIV/0!</v>
      </c>
    </row>
    <row r="18" spans="1:46" x14ac:dyDescent="0.3">
      <c r="A18" s="1"/>
      <c r="B18" s="1"/>
      <c r="C18" s="1" t="e">
        <f t="shared" si="0"/>
        <v>#DIV/0!</v>
      </c>
      <c r="D18" s="1" t="e">
        <f>C18*((Strumenti!A17/B18)+(Strumenti!B17/A18))</f>
        <v>#DIV/0!</v>
      </c>
      <c r="E18" s="1" t="e">
        <f>(B19-B18)/(A19-A18)</f>
        <v>#DIV/0!</v>
      </c>
      <c r="F18" s="1" t="e">
        <f>E18*((Strumenti!A17/(B19-B18))+(Strumenti!B17/(A19-A18)))</f>
        <v>#DIV/0!</v>
      </c>
      <c r="O18" s="1"/>
      <c r="P18" s="1"/>
      <c r="Q18" s="1" t="e">
        <f t="shared" si="1"/>
        <v>#DIV/0!</v>
      </c>
      <c r="R18" s="1" t="e">
        <f>Q18*((Strumenti!O17/P18)+(Strumenti!P17/O18))</f>
        <v>#DIV/0!</v>
      </c>
      <c r="S18" s="1" t="e">
        <f>(P19-P18)/(O19-O18)</f>
        <v>#DIV/0!</v>
      </c>
      <c r="T18" s="1" t="e">
        <f>S18*((Strumenti!O17/(P19-P18))+(Strumenti!P17/(O19-O18)))</f>
        <v>#DIV/0!</v>
      </c>
      <c r="AB18" s="1"/>
      <c r="AC18" s="1"/>
      <c r="AD18" s="1" t="e">
        <f t="shared" si="2"/>
        <v>#DIV/0!</v>
      </c>
      <c r="AE18" s="1" t="e">
        <f>AD18*((Strumenti!AB17/AC18)+(Strumenti!AC17/AB18))</f>
        <v>#DIV/0!</v>
      </c>
      <c r="AF18" s="1" t="e">
        <f>(AC19-AC18)/(AB19-AB18)</f>
        <v>#DIV/0!</v>
      </c>
      <c r="AG18" s="1" t="e">
        <f>AF18*((Strumenti!AB17/(AC19-AC18))+(Strumenti!AC17/(AB19-AB18)))</f>
        <v>#DIV/0!</v>
      </c>
      <c r="AO18" s="1"/>
      <c r="AP18" s="1"/>
      <c r="AQ18" s="1" t="e">
        <f t="shared" si="3"/>
        <v>#DIV/0!</v>
      </c>
      <c r="AR18" s="1" t="e">
        <f>AQ18*((Strumenti!AO17/AP18)+(Strumenti!AP17/AO18))</f>
        <v>#DIV/0!</v>
      </c>
      <c r="AS18" s="1" t="e">
        <f>(AP19-AP18)/(AO19-AO18)</f>
        <v>#DIV/0!</v>
      </c>
      <c r="AT18" s="1" t="e">
        <f>AS18*((Strumenti!AO17/(AP19-AP18))+(Strumenti!AP17/(AO19-AO18)))</f>
        <v>#DIV/0!</v>
      </c>
    </row>
    <row r="19" spans="1:46" x14ac:dyDescent="0.3">
      <c r="A19" s="1"/>
      <c r="B19" s="1"/>
      <c r="C19" s="1" t="e">
        <f t="shared" si="0"/>
        <v>#DIV/0!</v>
      </c>
      <c r="D19" s="1" t="e">
        <f>C19*((Strumenti!A18/B19)+(Strumenti!B18/A19))</f>
        <v>#DIV/0!</v>
      </c>
      <c r="E19" s="1" t="e">
        <f>(B20-B19)/(A20-A19)</f>
        <v>#DIV/0!</v>
      </c>
      <c r="F19" s="1" t="e">
        <f>E19*((Strumenti!A18/(B20-B19))+(Strumenti!B18/(A20-A19)))</f>
        <v>#DIV/0!</v>
      </c>
      <c r="O19" s="1"/>
      <c r="P19" s="1"/>
      <c r="Q19" s="1" t="e">
        <f t="shared" si="1"/>
        <v>#DIV/0!</v>
      </c>
      <c r="R19" s="1" t="e">
        <f>Q19*((Strumenti!O18/P19)+(Strumenti!P18/O19))</f>
        <v>#DIV/0!</v>
      </c>
      <c r="S19" s="1" t="e">
        <f>(P20-P19)/(O20-O19)</f>
        <v>#DIV/0!</v>
      </c>
      <c r="T19" s="1" t="e">
        <f>S19*((Strumenti!O18/(P20-P19))+(Strumenti!P18/(O20-O19)))</f>
        <v>#DIV/0!</v>
      </c>
      <c r="AB19" s="1"/>
      <c r="AC19" s="1"/>
      <c r="AD19" s="1" t="e">
        <f t="shared" si="2"/>
        <v>#DIV/0!</v>
      </c>
      <c r="AE19" s="1" t="e">
        <f>AD19*((Strumenti!AB18/AC19)+(Strumenti!AC18/AB19))</f>
        <v>#DIV/0!</v>
      </c>
      <c r="AF19" s="1" t="e">
        <f>(AC20-AC19)/(AB20-AB19)</f>
        <v>#DIV/0!</v>
      </c>
      <c r="AG19" s="1" t="e">
        <f>AF19*((Strumenti!AB18/(AC20-AC19))+(Strumenti!AC18/(AB20-AB19)))</f>
        <v>#DIV/0!</v>
      </c>
      <c r="AO19" s="1"/>
      <c r="AP19" s="1"/>
      <c r="AQ19" s="1" t="e">
        <f t="shared" si="3"/>
        <v>#DIV/0!</v>
      </c>
      <c r="AR19" s="1" t="e">
        <f>AQ19*((Strumenti!AO18/AP19)+(Strumenti!AP18/AO19))</f>
        <v>#DIV/0!</v>
      </c>
      <c r="AS19" s="1" t="e">
        <f>(AP20-AP19)/(AO20-AO19)</f>
        <v>#DIV/0!</v>
      </c>
      <c r="AT19" s="1" t="e">
        <f>AS19*((Strumenti!AO18/(AP20-AP19))+(Strumenti!AP18/(AO20-AO19)))</f>
        <v>#DIV/0!</v>
      </c>
    </row>
    <row r="20" spans="1:46" x14ac:dyDescent="0.3">
      <c r="A20" s="1"/>
      <c r="B20" s="1"/>
      <c r="C20" s="1" t="e">
        <f t="shared" si="0"/>
        <v>#DIV/0!</v>
      </c>
      <c r="D20" s="1" t="e">
        <f>C20*((Strumenti!A19/B20)+(Strumenti!B19/A20))</f>
        <v>#DIV/0!</v>
      </c>
      <c r="E20" s="1" t="e">
        <f>(B21-B20)/(A21-A20)</f>
        <v>#DIV/0!</v>
      </c>
      <c r="F20" s="1" t="e">
        <f>E20*((Strumenti!A19/(B21-B20))+(Strumenti!B19/(A21-A20)))</f>
        <v>#DIV/0!</v>
      </c>
      <c r="O20" s="1"/>
      <c r="P20" s="1"/>
      <c r="Q20" s="1" t="e">
        <f t="shared" si="1"/>
        <v>#DIV/0!</v>
      </c>
      <c r="R20" s="1" t="e">
        <f>Q20*((Strumenti!O19/P20)+(Strumenti!P19/O20))</f>
        <v>#DIV/0!</v>
      </c>
      <c r="S20" s="1" t="e">
        <f>(P21-P20)/(O21-O20)</f>
        <v>#DIV/0!</v>
      </c>
      <c r="T20" s="1" t="e">
        <f>S20*((Strumenti!O19/(P21-P20))+(Strumenti!P19/(O21-O20)))</f>
        <v>#DIV/0!</v>
      </c>
      <c r="AB20" s="1"/>
      <c r="AC20" s="1"/>
      <c r="AD20" s="1" t="e">
        <f t="shared" si="2"/>
        <v>#DIV/0!</v>
      </c>
      <c r="AE20" s="1" t="e">
        <f>AD20*((Strumenti!AB19/AC20)+(Strumenti!AC19/AB20))</f>
        <v>#DIV/0!</v>
      </c>
      <c r="AF20" s="1" t="e">
        <f>(AC21-AC20)/(AB21-AB20)</f>
        <v>#DIV/0!</v>
      </c>
      <c r="AG20" s="1" t="e">
        <f>AF20*((Strumenti!AB19/(AC21-AC20))+(Strumenti!AC19/(AB21-AB20)))</f>
        <v>#DIV/0!</v>
      </c>
      <c r="AO20" s="1"/>
      <c r="AP20" s="1"/>
      <c r="AQ20" s="1" t="e">
        <f t="shared" si="3"/>
        <v>#DIV/0!</v>
      </c>
      <c r="AR20" s="1" t="e">
        <f>AQ20*((Strumenti!AO19/AP20)+(Strumenti!AP19/AO20))</f>
        <v>#DIV/0!</v>
      </c>
      <c r="AS20" s="1" t="e">
        <f>(AP21-AP20)/(AO21-AO20)</f>
        <v>#DIV/0!</v>
      </c>
      <c r="AT20" s="1" t="e">
        <f>AS20*((Strumenti!AO19/(AP21-AP20))+(Strumenti!AP19/(AO21-AO20)))</f>
        <v>#DIV/0!</v>
      </c>
    </row>
    <row r="21" spans="1:46" x14ac:dyDescent="0.3">
      <c r="A21" s="1"/>
      <c r="B21" s="1"/>
      <c r="C21" s="1" t="e">
        <f t="shared" si="0"/>
        <v>#DIV/0!</v>
      </c>
      <c r="D21" s="1" t="e">
        <f>C21*((Strumenti!A20/B21)+(Strumenti!B20/A21))</f>
        <v>#DIV/0!</v>
      </c>
      <c r="E21" s="1" t="e">
        <f>(B22-B21)/(A22-A21)</f>
        <v>#DIV/0!</v>
      </c>
      <c r="F21" s="1" t="e">
        <f>E21*((Strumenti!A20/(B22-B21))+(Strumenti!B20/(A22-A21)))</f>
        <v>#DIV/0!</v>
      </c>
      <c r="O21" s="1"/>
      <c r="P21" s="1"/>
      <c r="Q21" s="1" t="e">
        <f t="shared" si="1"/>
        <v>#DIV/0!</v>
      </c>
      <c r="R21" s="1" t="e">
        <f>Q21*((Strumenti!O20/P21)+(Strumenti!P20/O21))</f>
        <v>#DIV/0!</v>
      </c>
      <c r="S21" s="1" t="e">
        <f>(P22-P21)/(O22-O21)</f>
        <v>#DIV/0!</v>
      </c>
      <c r="T21" s="1" t="e">
        <f>S21*((Strumenti!O20/(P22-P21))+(Strumenti!P20/(O22-O21)))</f>
        <v>#DIV/0!</v>
      </c>
      <c r="AB21" s="1"/>
      <c r="AC21" s="1"/>
      <c r="AD21" s="1" t="e">
        <f t="shared" si="2"/>
        <v>#DIV/0!</v>
      </c>
      <c r="AE21" s="1" t="e">
        <f>AD21*((Strumenti!AB20/AC21)+(Strumenti!AC20/AB21))</f>
        <v>#DIV/0!</v>
      </c>
      <c r="AF21" s="1" t="e">
        <f>(AC22-AC21)/(AB22-AB21)</f>
        <v>#DIV/0!</v>
      </c>
      <c r="AG21" s="1" t="e">
        <f>AF21*((Strumenti!AB20/(AC22-AC21))+(Strumenti!AC20/(AB22-AB21)))</f>
        <v>#DIV/0!</v>
      </c>
      <c r="AO21" s="1"/>
      <c r="AP21" s="1"/>
      <c r="AQ21" s="1" t="e">
        <f t="shared" si="3"/>
        <v>#DIV/0!</v>
      </c>
      <c r="AR21" s="1" t="e">
        <f>AQ21*((Strumenti!AO20/AP21)+(Strumenti!AP20/AO21))</f>
        <v>#DIV/0!</v>
      </c>
      <c r="AS21" s="1" t="e">
        <f>(AP22-AP21)/(AO22-AO21)</f>
        <v>#DIV/0!</v>
      </c>
      <c r="AT21" s="1" t="e">
        <f>AS21*((Strumenti!AO20/(AP22-AP21))+(Strumenti!AP20/(AO22-AO21)))</f>
        <v>#DIV/0!</v>
      </c>
    </row>
    <row r="22" spans="1:46" x14ac:dyDescent="0.3">
      <c r="A22" s="1"/>
      <c r="B22" s="1"/>
      <c r="C22" s="1" t="e">
        <f t="shared" si="0"/>
        <v>#DIV/0!</v>
      </c>
      <c r="D22" s="1" t="e">
        <f>C22*((Strumenti!A21/B22)+(Strumenti!B21/A22))</f>
        <v>#DIV/0!</v>
      </c>
      <c r="E22" s="1" t="e">
        <f>(B23-B22)/(A23-A22)</f>
        <v>#DIV/0!</v>
      </c>
      <c r="F22" s="1" t="e">
        <f>E22*((Strumenti!A21/(B23-B22))+(Strumenti!B21/(A23-A22)))</f>
        <v>#DIV/0!</v>
      </c>
      <c r="O22" s="1"/>
      <c r="P22" s="1"/>
      <c r="Q22" s="1" t="e">
        <f t="shared" si="1"/>
        <v>#DIV/0!</v>
      </c>
      <c r="R22" s="1" t="e">
        <f>Q22*((Strumenti!O21/P22)+(Strumenti!P21/O22))</f>
        <v>#DIV/0!</v>
      </c>
      <c r="S22" s="1" t="e">
        <f>(P23-P22)/(O23-O22)</f>
        <v>#DIV/0!</v>
      </c>
      <c r="T22" s="1" t="e">
        <f>S22*((Strumenti!O21/(P23-P22))+(Strumenti!P21/(O23-O22)))</f>
        <v>#DIV/0!</v>
      </c>
      <c r="AB22" s="1"/>
      <c r="AC22" s="1"/>
      <c r="AD22" s="1" t="e">
        <f t="shared" si="2"/>
        <v>#DIV/0!</v>
      </c>
      <c r="AE22" s="1" t="e">
        <f>AD22*((Strumenti!AB21/AC22)+(Strumenti!AC21/AB22))</f>
        <v>#DIV/0!</v>
      </c>
      <c r="AF22" s="1" t="e">
        <f>(AC23-AC22)/(AB23-AB22)</f>
        <v>#DIV/0!</v>
      </c>
      <c r="AG22" s="1" t="e">
        <f>AF22*((Strumenti!AB21/(AC23-AC22))+(Strumenti!AC21/(AB23-AB22)))</f>
        <v>#DIV/0!</v>
      </c>
      <c r="AO22" s="1"/>
      <c r="AP22" s="1"/>
      <c r="AQ22" s="1" t="e">
        <f t="shared" si="3"/>
        <v>#DIV/0!</v>
      </c>
      <c r="AR22" s="1" t="e">
        <f>AQ22*((Strumenti!AO21/AP22)+(Strumenti!AP21/AO22))</f>
        <v>#DIV/0!</v>
      </c>
      <c r="AS22" s="1" t="e">
        <f>(AP23-AP22)/(AO23-AO22)</f>
        <v>#DIV/0!</v>
      </c>
      <c r="AT22" s="1" t="e">
        <f>AS22*((Strumenti!AO21/(AP23-AP22))+(Strumenti!AP21/(AO23-AO22)))</f>
        <v>#DIV/0!</v>
      </c>
    </row>
    <row r="23" spans="1:46" x14ac:dyDescent="0.3">
      <c r="A23" s="1"/>
      <c r="B23" s="1"/>
      <c r="C23" s="1" t="e">
        <f t="shared" si="0"/>
        <v>#DIV/0!</v>
      </c>
      <c r="D23" s="1" t="e">
        <f>C23*((Strumenti!A22/B23)+(Strumenti!B22/A23))</f>
        <v>#DIV/0!</v>
      </c>
      <c r="E23" s="1" t="e">
        <f>(B24-B23)/(A24-A23)</f>
        <v>#DIV/0!</v>
      </c>
      <c r="F23" s="1" t="e">
        <f>E23*((Strumenti!A22/(B24-B23))+(Strumenti!B22/(A24-A23)))</f>
        <v>#DIV/0!</v>
      </c>
      <c r="O23" s="1"/>
      <c r="P23" s="1"/>
      <c r="Q23" s="1" t="e">
        <f t="shared" si="1"/>
        <v>#DIV/0!</v>
      </c>
      <c r="R23" s="1" t="e">
        <f>Q23*((Strumenti!O22/P23)+(Strumenti!P22/O23))</f>
        <v>#DIV/0!</v>
      </c>
      <c r="S23" s="1" t="e">
        <f>(P24-P23)/(O24-O23)</f>
        <v>#DIV/0!</v>
      </c>
      <c r="T23" s="1" t="e">
        <f>S23*((Strumenti!O22/(P24-P23))+(Strumenti!P22/(O24-O23)))</f>
        <v>#DIV/0!</v>
      </c>
      <c r="AB23" s="1"/>
      <c r="AC23" s="1"/>
      <c r="AD23" s="1" t="e">
        <f t="shared" si="2"/>
        <v>#DIV/0!</v>
      </c>
      <c r="AE23" s="1" t="e">
        <f>AD23*((Strumenti!AB22/AC23)+(Strumenti!AC22/AB23))</f>
        <v>#DIV/0!</v>
      </c>
      <c r="AF23" s="1" t="e">
        <f>(AC24-AC23)/(AB24-AB23)</f>
        <v>#DIV/0!</v>
      </c>
      <c r="AG23" s="1" t="e">
        <f>AF23*((Strumenti!AB22/(AC24-AC23))+(Strumenti!AC22/(AB24-AB23)))</f>
        <v>#DIV/0!</v>
      </c>
      <c r="AO23" s="1"/>
      <c r="AP23" s="1"/>
      <c r="AQ23" s="1" t="e">
        <f t="shared" si="3"/>
        <v>#DIV/0!</v>
      </c>
      <c r="AR23" s="1" t="e">
        <f>AQ23*((Strumenti!AO22/AP23)+(Strumenti!AP22/AO23))</f>
        <v>#DIV/0!</v>
      </c>
      <c r="AS23" s="1" t="e">
        <f>(AP24-AP23)/(AO24-AO23)</f>
        <v>#DIV/0!</v>
      </c>
      <c r="AT23" s="1" t="e">
        <f>AS23*((Strumenti!AO22/(AP24-AP23))+(Strumenti!AP22/(AO24-AO23)))</f>
        <v>#DIV/0!</v>
      </c>
    </row>
    <row r="24" spans="1:46" x14ac:dyDescent="0.3">
      <c r="A24" s="1"/>
      <c r="B24" s="1"/>
      <c r="C24" s="1" t="e">
        <f t="shared" si="0"/>
        <v>#DIV/0!</v>
      </c>
      <c r="D24" s="1" t="e">
        <f>C24*((Strumenti!A23/B24)+(Strumenti!B23/A24))</f>
        <v>#DIV/0!</v>
      </c>
      <c r="E24" s="1" t="e">
        <f>(B25-B24)/(A25-A24)</f>
        <v>#DIV/0!</v>
      </c>
      <c r="F24" s="1" t="e">
        <f>E24*((Strumenti!A23/(B25-B24))+(Strumenti!B23/(A25-A24)))</f>
        <v>#DIV/0!</v>
      </c>
      <c r="O24" s="1"/>
      <c r="P24" s="1"/>
      <c r="Q24" s="1" t="e">
        <f t="shared" si="1"/>
        <v>#DIV/0!</v>
      </c>
      <c r="R24" s="1" t="e">
        <f>Q24*((Strumenti!O23/P24)+(Strumenti!P23/O24))</f>
        <v>#DIV/0!</v>
      </c>
      <c r="S24" s="1" t="e">
        <f>(P25-P24)/(O25-O24)</f>
        <v>#DIV/0!</v>
      </c>
      <c r="T24" s="1" t="e">
        <f>S24*((Strumenti!O23/(P25-P24))+(Strumenti!P23/(O25-O24)))</f>
        <v>#DIV/0!</v>
      </c>
      <c r="AB24" s="1"/>
      <c r="AC24" s="1"/>
      <c r="AD24" s="1" t="e">
        <f t="shared" si="2"/>
        <v>#DIV/0!</v>
      </c>
      <c r="AE24" s="1" t="e">
        <f>AD24*((Strumenti!AB23/AC24)+(Strumenti!AC23/AB24))</f>
        <v>#DIV/0!</v>
      </c>
      <c r="AF24" s="1" t="e">
        <f>(AC25-AC24)/(AB25-AB24)</f>
        <v>#DIV/0!</v>
      </c>
      <c r="AG24" s="1" t="e">
        <f>AF24*((Strumenti!AB23/(AC25-AC24))+(Strumenti!AC23/(AB25-AB24)))</f>
        <v>#DIV/0!</v>
      </c>
      <c r="AO24" s="1"/>
      <c r="AP24" s="1"/>
      <c r="AQ24" s="1" t="e">
        <f t="shared" si="3"/>
        <v>#DIV/0!</v>
      </c>
      <c r="AR24" s="1" t="e">
        <f>AQ24*((Strumenti!AO23/AP24)+(Strumenti!AP23/AO24))</f>
        <v>#DIV/0!</v>
      </c>
      <c r="AS24" s="1" t="e">
        <f>(AP25-AP24)/(AO25-AO24)</f>
        <v>#DIV/0!</v>
      </c>
      <c r="AT24" s="1" t="e">
        <f>AS24*((Strumenti!AO23/(AP25-AP24))+(Strumenti!AP23/(AO25-AO24)))</f>
        <v>#DIV/0!</v>
      </c>
    </row>
    <row r="25" spans="1:46" x14ac:dyDescent="0.3">
      <c r="A25" s="1"/>
      <c r="B25" s="1"/>
      <c r="C25" s="1" t="e">
        <f t="shared" si="0"/>
        <v>#DIV/0!</v>
      </c>
      <c r="D25" s="1" t="e">
        <f>C25*((Strumenti!A24/B25)+(Strumenti!B24/A25))</f>
        <v>#DIV/0!</v>
      </c>
      <c r="E25" s="1" t="e">
        <f>(B26-B25)/(A26-A25)</f>
        <v>#DIV/0!</v>
      </c>
      <c r="F25" s="1" t="e">
        <f>E25*((Strumenti!A24/(B26-B25))+(Strumenti!B24/(A26-A25)))</f>
        <v>#DIV/0!</v>
      </c>
      <c r="O25" s="1"/>
      <c r="P25" s="1"/>
      <c r="Q25" s="1" t="e">
        <f t="shared" si="1"/>
        <v>#DIV/0!</v>
      </c>
      <c r="R25" s="1" t="e">
        <f>Q25*((Strumenti!O24/P25)+(Strumenti!P24/O25))</f>
        <v>#DIV/0!</v>
      </c>
      <c r="S25" s="1" t="e">
        <f>(P26-P25)/(O26-O25)</f>
        <v>#DIV/0!</v>
      </c>
      <c r="T25" s="1" t="e">
        <f>S25*((Strumenti!O24/(P26-P25))+(Strumenti!P24/(O26-O25)))</f>
        <v>#DIV/0!</v>
      </c>
      <c r="AB25" s="1"/>
      <c r="AC25" s="1"/>
      <c r="AD25" s="1" t="e">
        <f t="shared" si="2"/>
        <v>#DIV/0!</v>
      </c>
      <c r="AE25" s="1" t="e">
        <f>AD25*((Strumenti!AB24/AC25)+(Strumenti!AC24/AB25))</f>
        <v>#DIV/0!</v>
      </c>
      <c r="AF25" s="1" t="e">
        <f>(AC26-AC25)/(AB26-AB25)</f>
        <v>#DIV/0!</v>
      </c>
      <c r="AG25" s="1" t="e">
        <f>AF25*((Strumenti!AB24/(AC26-AC25))+(Strumenti!AC24/(AB26-AB25)))</f>
        <v>#DIV/0!</v>
      </c>
      <c r="AO25" s="1"/>
      <c r="AP25" s="1"/>
      <c r="AQ25" s="1" t="e">
        <f t="shared" si="3"/>
        <v>#DIV/0!</v>
      </c>
      <c r="AR25" s="1" t="e">
        <f>AQ25*((Strumenti!AO24/AP25)+(Strumenti!AP24/AO25))</f>
        <v>#DIV/0!</v>
      </c>
      <c r="AS25" s="1" t="e">
        <f>(AP26-AP25)/(AO26-AO25)</f>
        <v>#DIV/0!</v>
      </c>
      <c r="AT25" s="1" t="e">
        <f>AS25*((Strumenti!AO24/(AP26-AP25))+(Strumenti!AP24/(AO26-AO25)))</f>
        <v>#DIV/0!</v>
      </c>
    </row>
    <row r="26" spans="1:46" x14ac:dyDescent="0.3">
      <c r="A26" s="1"/>
      <c r="B26" s="1"/>
      <c r="C26" s="1" t="e">
        <f t="shared" si="0"/>
        <v>#DIV/0!</v>
      </c>
      <c r="D26" s="1" t="e">
        <f>C26*((Strumenti!A25/B26)+(Strumenti!B25/A26))</f>
        <v>#DIV/0!</v>
      </c>
      <c r="E26" s="1" t="e">
        <f>(B27-B26)/(A27-A26)</f>
        <v>#DIV/0!</v>
      </c>
      <c r="F26" s="1" t="e">
        <f>E26*((Strumenti!A25/(B27-B26))+(Strumenti!B25/(A27-A26)))</f>
        <v>#DIV/0!</v>
      </c>
      <c r="O26" s="1"/>
      <c r="P26" s="1"/>
      <c r="Q26" s="1" t="e">
        <f t="shared" si="1"/>
        <v>#DIV/0!</v>
      </c>
      <c r="R26" s="1" t="e">
        <f>Q26*((Strumenti!O25/P26)+(Strumenti!P25/O26))</f>
        <v>#DIV/0!</v>
      </c>
      <c r="S26" s="1" t="e">
        <f>(P27-P26)/(O27-O26)</f>
        <v>#DIV/0!</v>
      </c>
      <c r="T26" s="1" t="e">
        <f>S26*((Strumenti!O25/(P27-P26))+(Strumenti!P25/(O27-O26)))</f>
        <v>#DIV/0!</v>
      </c>
      <c r="AB26" s="1"/>
      <c r="AC26" s="1"/>
      <c r="AD26" s="1" t="e">
        <f t="shared" si="2"/>
        <v>#DIV/0!</v>
      </c>
      <c r="AE26" s="1" t="e">
        <f>AD26*((Strumenti!AB25/AC26)+(Strumenti!AC25/AB26))</f>
        <v>#DIV/0!</v>
      </c>
      <c r="AF26" s="1" t="e">
        <f>(AC27-AC26)/(AB27-AB26)</f>
        <v>#DIV/0!</v>
      </c>
      <c r="AG26" s="1" t="e">
        <f>AF26*((Strumenti!AB25/(AC27-AC26))+(Strumenti!AC25/(AB27-AB26)))</f>
        <v>#DIV/0!</v>
      </c>
      <c r="AO26" s="1"/>
      <c r="AP26" s="1"/>
      <c r="AQ26" s="1" t="e">
        <f t="shared" si="3"/>
        <v>#DIV/0!</v>
      </c>
      <c r="AR26" s="1" t="e">
        <f>AQ26*((Strumenti!AO25/AP26)+(Strumenti!AP25/AO26))</f>
        <v>#DIV/0!</v>
      </c>
      <c r="AS26" s="1" t="e">
        <f>(AP27-AP26)/(AO27-AO26)</f>
        <v>#DIV/0!</v>
      </c>
      <c r="AT26" s="1" t="e">
        <f>AS26*((Strumenti!AO25/(AP27-AP26))+(Strumenti!AP25/(AO27-AO26)))</f>
        <v>#DIV/0!</v>
      </c>
    </row>
    <row r="27" spans="1:46" x14ac:dyDescent="0.3">
      <c r="A27" s="1"/>
      <c r="B27" s="1"/>
      <c r="C27" s="1" t="e">
        <f t="shared" si="0"/>
        <v>#DIV/0!</v>
      </c>
      <c r="D27" s="1" t="e">
        <f>C27*((Strumenti!A26/B27)+(Strumenti!B26/A27))</f>
        <v>#DIV/0!</v>
      </c>
      <c r="E27" s="1" t="e">
        <f>(B28-B27)/(A28-A27)</f>
        <v>#DIV/0!</v>
      </c>
      <c r="F27" s="1" t="e">
        <f>E27*((Strumenti!A26/(B28-B27))+(Strumenti!B26/(A28-A27)))</f>
        <v>#DIV/0!</v>
      </c>
      <c r="O27" s="1"/>
      <c r="P27" s="1"/>
      <c r="Q27" s="1" t="e">
        <f t="shared" si="1"/>
        <v>#DIV/0!</v>
      </c>
      <c r="R27" s="1" t="e">
        <f>Q27*((Strumenti!O26/P27)+(Strumenti!P26/O27))</f>
        <v>#DIV/0!</v>
      </c>
      <c r="S27" s="1" t="e">
        <f>(P28-P27)/(O28-O27)</f>
        <v>#DIV/0!</v>
      </c>
      <c r="T27" s="1" t="e">
        <f>S27*((Strumenti!O26/(P28-P27))+(Strumenti!P26/(O28-O27)))</f>
        <v>#DIV/0!</v>
      </c>
      <c r="AB27" s="1"/>
      <c r="AC27" s="1"/>
      <c r="AD27" s="1" t="e">
        <f t="shared" si="2"/>
        <v>#DIV/0!</v>
      </c>
      <c r="AE27" s="1" t="e">
        <f>AD27*((Strumenti!AB26/AC27)+(Strumenti!AC26/AB27))</f>
        <v>#DIV/0!</v>
      </c>
      <c r="AF27" s="1" t="e">
        <f>(AC28-AC27)/(AB28-AB27)</f>
        <v>#DIV/0!</v>
      </c>
      <c r="AG27" s="1" t="e">
        <f>AF27*((Strumenti!AB26/(AC28-AC27))+(Strumenti!AC26/(AB28-AB27)))</f>
        <v>#DIV/0!</v>
      </c>
      <c r="AO27" s="1"/>
      <c r="AP27" s="1"/>
      <c r="AQ27" s="1" t="e">
        <f t="shared" si="3"/>
        <v>#DIV/0!</v>
      </c>
      <c r="AR27" s="1" t="e">
        <f>AQ27*((Strumenti!AO26/AP27)+(Strumenti!AP26/AO27))</f>
        <v>#DIV/0!</v>
      </c>
      <c r="AS27" s="1" t="e">
        <f>(AP28-AP27)/(AO28-AO27)</f>
        <v>#DIV/0!</v>
      </c>
      <c r="AT27" s="1" t="e">
        <f>AS27*((Strumenti!AO26/(AP28-AP27))+(Strumenti!AP26/(AO28-AO27)))</f>
        <v>#DIV/0!</v>
      </c>
    </row>
    <row r="28" spans="1:46" x14ac:dyDescent="0.3">
      <c r="A28" s="1"/>
      <c r="B28" s="1"/>
      <c r="C28" s="1" t="e">
        <f t="shared" si="0"/>
        <v>#DIV/0!</v>
      </c>
      <c r="D28" s="1" t="e">
        <f>C28*((Strumenti!A27/B28)+(Strumenti!B27/A28))</f>
        <v>#DIV/0!</v>
      </c>
      <c r="E28" s="1" t="e">
        <f>(B29-B28)/(A29-A28)</f>
        <v>#DIV/0!</v>
      </c>
      <c r="F28" s="1" t="e">
        <f>E28*((Strumenti!A27/(B29-B28))+(Strumenti!B27/(A29-A28)))</f>
        <v>#DIV/0!</v>
      </c>
      <c r="O28" s="1"/>
      <c r="P28" s="1"/>
      <c r="Q28" s="1" t="e">
        <f t="shared" si="1"/>
        <v>#DIV/0!</v>
      </c>
      <c r="R28" s="1" t="e">
        <f>Q28*((Strumenti!O27/P28)+(Strumenti!P27/O28))</f>
        <v>#DIV/0!</v>
      </c>
      <c r="S28" s="1" t="e">
        <f>(P29-P28)/(O29-O28)</f>
        <v>#DIV/0!</v>
      </c>
      <c r="T28" s="1" t="e">
        <f>S28*((Strumenti!O27/(P29-P28))+(Strumenti!P27/(O29-O28)))</f>
        <v>#DIV/0!</v>
      </c>
      <c r="AB28" s="1"/>
      <c r="AC28" s="1"/>
      <c r="AD28" s="1" t="e">
        <f t="shared" si="2"/>
        <v>#DIV/0!</v>
      </c>
      <c r="AE28" s="1" t="e">
        <f>AD28*((Strumenti!AB27/AC28)+(Strumenti!AC27/AB28))</f>
        <v>#DIV/0!</v>
      </c>
      <c r="AF28" s="1" t="e">
        <f>(AC29-AC28)/(AB29-AB28)</f>
        <v>#DIV/0!</v>
      </c>
      <c r="AG28" s="1" t="e">
        <f>AF28*((Strumenti!AB27/(AC29-AC28))+(Strumenti!AC27/(AB29-AB28)))</f>
        <v>#DIV/0!</v>
      </c>
      <c r="AO28" s="1"/>
      <c r="AP28" s="1"/>
      <c r="AQ28" s="1" t="e">
        <f t="shared" si="3"/>
        <v>#DIV/0!</v>
      </c>
      <c r="AR28" s="1" t="e">
        <f>AQ28*((Strumenti!AO27/AP28)+(Strumenti!AP27/AO28))</f>
        <v>#DIV/0!</v>
      </c>
      <c r="AS28" s="1" t="e">
        <f>(AP29-AP28)/(AO29-AO28)</f>
        <v>#DIV/0!</v>
      </c>
      <c r="AT28" s="1" t="e">
        <f>AS28*((Strumenti!AO27/(AP29-AP28))+(Strumenti!AP27/(AO29-AO28)))</f>
        <v>#DIV/0!</v>
      </c>
    </row>
    <row r="29" spans="1:46" x14ac:dyDescent="0.3">
      <c r="A29" s="1"/>
      <c r="B29" s="1"/>
      <c r="C29" s="1" t="e">
        <f t="shared" si="0"/>
        <v>#DIV/0!</v>
      </c>
      <c r="D29" s="1" t="e">
        <f>C29*((Strumenti!A28/B29)+(Strumenti!B28/A29))</f>
        <v>#DIV/0!</v>
      </c>
      <c r="E29" s="1" t="e">
        <f>(B30-B29)/(A30-A29)</f>
        <v>#DIV/0!</v>
      </c>
      <c r="F29" s="1" t="e">
        <f>E29*((Strumenti!A28/(B30-B29))+(Strumenti!B28/(A30-A29)))</f>
        <v>#DIV/0!</v>
      </c>
      <c r="O29" s="1"/>
      <c r="P29" s="1"/>
      <c r="Q29" s="1" t="e">
        <f t="shared" si="1"/>
        <v>#DIV/0!</v>
      </c>
      <c r="R29" s="1" t="e">
        <f>Q29*((Strumenti!O28/P29)+(Strumenti!P28/O29))</f>
        <v>#DIV/0!</v>
      </c>
      <c r="S29" s="1" t="e">
        <f>(P30-P29)/(O30-O29)</f>
        <v>#DIV/0!</v>
      </c>
      <c r="T29" s="1" t="e">
        <f>S29*((Strumenti!O28/(P30-P29))+(Strumenti!P28/(O30-O29)))</f>
        <v>#DIV/0!</v>
      </c>
      <c r="AB29" s="1"/>
      <c r="AC29" s="1"/>
      <c r="AD29" s="1" t="e">
        <f t="shared" si="2"/>
        <v>#DIV/0!</v>
      </c>
      <c r="AE29" s="1" t="e">
        <f>AD29*((Strumenti!AB28/AC29)+(Strumenti!AC28/AB29))</f>
        <v>#DIV/0!</v>
      </c>
      <c r="AF29" s="1" t="e">
        <f>(AC30-AC29)/(AB30-AB29)</f>
        <v>#DIV/0!</v>
      </c>
      <c r="AG29" s="1" t="e">
        <f>AF29*((Strumenti!AB28/(AC30-AC29))+(Strumenti!AC28/(AB30-AB29)))</f>
        <v>#DIV/0!</v>
      </c>
      <c r="AO29" s="1"/>
      <c r="AP29" s="1"/>
      <c r="AQ29" s="1" t="e">
        <f t="shared" si="3"/>
        <v>#DIV/0!</v>
      </c>
      <c r="AR29" s="1" t="e">
        <f>AQ29*((Strumenti!AO28/AP29)+(Strumenti!AP28/AO29))</f>
        <v>#DIV/0!</v>
      </c>
      <c r="AS29" s="1" t="e">
        <f>(AP30-AP29)/(AO30-AO29)</f>
        <v>#DIV/0!</v>
      </c>
      <c r="AT29" s="1" t="e">
        <f>AS29*((Strumenti!AO28/(AP30-AP29))+(Strumenti!AP28/(AO30-AO29)))</f>
        <v>#DIV/0!</v>
      </c>
    </row>
    <row r="30" spans="1:46" x14ac:dyDescent="0.3">
      <c r="A30" s="1"/>
      <c r="B30" s="1"/>
      <c r="C30" s="1" t="e">
        <f t="shared" si="0"/>
        <v>#DIV/0!</v>
      </c>
      <c r="D30" s="1" t="e">
        <f>C30*((Strumenti!A29/B30)+(Strumenti!B29/A30))</f>
        <v>#DIV/0!</v>
      </c>
      <c r="E30" s="1" t="e">
        <f>(B31-B30)/(A31-A30)</f>
        <v>#DIV/0!</v>
      </c>
      <c r="F30" s="1" t="e">
        <f>E30*((Strumenti!A29/(B31-B30))+(Strumenti!B29/(A31-A30)))</f>
        <v>#DIV/0!</v>
      </c>
      <c r="O30" s="1"/>
      <c r="P30" s="1"/>
      <c r="Q30" s="1" t="e">
        <f t="shared" si="1"/>
        <v>#DIV/0!</v>
      </c>
      <c r="R30" s="1" t="e">
        <f>Q30*((Strumenti!O29/P30)+(Strumenti!P29/O30))</f>
        <v>#DIV/0!</v>
      </c>
      <c r="S30" s="1" t="e">
        <f>(P31-P30)/(O31-O30)</f>
        <v>#DIV/0!</v>
      </c>
      <c r="T30" s="1" t="e">
        <f>S30*((Strumenti!O29/(P31-P30))+(Strumenti!P29/(O31-O30)))</f>
        <v>#DIV/0!</v>
      </c>
      <c r="AB30" s="1"/>
      <c r="AC30" s="1"/>
      <c r="AD30" s="1" t="e">
        <f t="shared" si="2"/>
        <v>#DIV/0!</v>
      </c>
      <c r="AE30" s="1" t="e">
        <f>AD30*((Strumenti!AB29/AC30)+(Strumenti!AC29/AB30))</f>
        <v>#DIV/0!</v>
      </c>
      <c r="AF30" s="1" t="e">
        <f>(AC31-AC30)/(AB31-AB30)</f>
        <v>#DIV/0!</v>
      </c>
      <c r="AG30" s="1" t="e">
        <f>AF30*((Strumenti!AB29/(AC31-AC30))+(Strumenti!AC29/(AB31-AB30)))</f>
        <v>#DIV/0!</v>
      </c>
      <c r="AO30" s="1"/>
      <c r="AP30" s="1"/>
      <c r="AQ30" s="1" t="e">
        <f t="shared" si="3"/>
        <v>#DIV/0!</v>
      </c>
      <c r="AR30" s="1" t="e">
        <f>AQ30*((Strumenti!AO29/AP30)+(Strumenti!AP29/AO30))</f>
        <v>#DIV/0!</v>
      </c>
      <c r="AS30" s="1" t="e">
        <f>(AP31-AP30)/(AO31-AO30)</f>
        <v>#DIV/0!</v>
      </c>
      <c r="AT30" s="1" t="e">
        <f>AS30*((Strumenti!AO29/(AP31-AP30))+(Strumenti!AP29/(AO31-AO30)))</f>
        <v>#DIV/0!</v>
      </c>
    </row>
    <row r="31" spans="1:46" x14ac:dyDescent="0.3">
      <c r="A31" s="1"/>
      <c r="B31" s="1"/>
      <c r="C31" s="1" t="e">
        <f t="shared" si="0"/>
        <v>#DIV/0!</v>
      </c>
      <c r="D31" s="1" t="e">
        <f>C31*((Strumenti!A30/B31)+(Strumenti!B30/A31))</f>
        <v>#DIV/0!</v>
      </c>
      <c r="E31" s="1" t="e">
        <f>(B32-B31)/(A32-A31)</f>
        <v>#DIV/0!</v>
      </c>
      <c r="F31" s="1" t="e">
        <f>E31*((Strumenti!A30/(B32-B31))+(Strumenti!B30/(A32-A31)))</f>
        <v>#DIV/0!</v>
      </c>
      <c r="O31" s="1"/>
      <c r="P31" s="1"/>
      <c r="Q31" s="1" t="e">
        <f t="shared" si="1"/>
        <v>#DIV/0!</v>
      </c>
      <c r="R31" s="1" t="e">
        <f>Q31*((Strumenti!O30/P31)+(Strumenti!P30/O31))</f>
        <v>#DIV/0!</v>
      </c>
      <c r="S31" s="1" t="e">
        <f>(P32-P31)/(O32-O31)</f>
        <v>#DIV/0!</v>
      </c>
      <c r="T31" s="1" t="e">
        <f>S31*((Strumenti!O30/(P32-P31))+(Strumenti!P30/(O32-O31)))</f>
        <v>#DIV/0!</v>
      </c>
      <c r="AB31" s="1"/>
      <c r="AC31" s="1"/>
      <c r="AD31" s="1" t="e">
        <f t="shared" si="2"/>
        <v>#DIV/0!</v>
      </c>
      <c r="AE31" s="1" t="e">
        <f>AD31*((Strumenti!AB30/AC31)+(Strumenti!AC30/AB31))</f>
        <v>#DIV/0!</v>
      </c>
      <c r="AF31" s="1" t="e">
        <f>(AC32-AC31)/(AB32-AB31)</f>
        <v>#DIV/0!</v>
      </c>
      <c r="AG31" s="1" t="e">
        <f>AF31*((Strumenti!AB30/(AC32-AC31))+(Strumenti!AC30/(AB32-AB31)))</f>
        <v>#DIV/0!</v>
      </c>
      <c r="AO31" s="1"/>
      <c r="AP31" s="1"/>
      <c r="AQ31" s="1" t="e">
        <f t="shared" si="3"/>
        <v>#DIV/0!</v>
      </c>
      <c r="AR31" s="1" t="e">
        <f>AQ31*((Strumenti!AO30/AP31)+(Strumenti!AP30/AO31))</f>
        <v>#DIV/0!</v>
      </c>
      <c r="AS31" s="1" t="e">
        <f>(AP32-AP31)/(AO32-AO31)</f>
        <v>#DIV/0!</v>
      </c>
      <c r="AT31" s="1" t="e">
        <f>AS31*((Strumenti!AO30/(AP32-AP31))+(Strumenti!AP30/(AO32-AO31)))</f>
        <v>#DIV/0!</v>
      </c>
    </row>
    <row r="32" spans="1:46" x14ac:dyDescent="0.3">
      <c r="A32" s="1"/>
      <c r="B32" s="1"/>
      <c r="C32" s="1" t="e">
        <f t="shared" si="0"/>
        <v>#DIV/0!</v>
      </c>
      <c r="D32" s="1" t="e">
        <f>C32*((Strumenti!A31/B32)+(Strumenti!B31/A32))</f>
        <v>#DIV/0!</v>
      </c>
      <c r="E32" s="1" t="e">
        <f>(B33-B32)/(A33-A32)</f>
        <v>#DIV/0!</v>
      </c>
      <c r="F32" s="1" t="e">
        <f>E32*((Strumenti!A31/(B33-B32))+(Strumenti!B31/(A33-A32)))</f>
        <v>#DIV/0!</v>
      </c>
      <c r="O32" s="1"/>
      <c r="P32" s="1"/>
      <c r="Q32" s="1" t="e">
        <f t="shared" si="1"/>
        <v>#DIV/0!</v>
      </c>
      <c r="R32" s="1" t="e">
        <f>Q32*((Strumenti!O31/P32)+(Strumenti!P31/O32))</f>
        <v>#DIV/0!</v>
      </c>
      <c r="S32" s="1" t="e">
        <f>(P33-P32)/(O33-O32)</f>
        <v>#DIV/0!</v>
      </c>
      <c r="T32" s="1" t="e">
        <f>S32*((Strumenti!O31/(P33-P32))+(Strumenti!P31/(O33-O32)))</f>
        <v>#DIV/0!</v>
      </c>
      <c r="AB32" s="1"/>
      <c r="AC32" s="1"/>
      <c r="AD32" s="1" t="e">
        <f t="shared" si="2"/>
        <v>#DIV/0!</v>
      </c>
      <c r="AE32" s="1" t="e">
        <f>AD32*((Strumenti!AB31/AC32)+(Strumenti!AC31/AB32))</f>
        <v>#DIV/0!</v>
      </c>
      <c r="AF32" s="1" t="e">
        <f>(AC33-AC32)/(AB33-AB32)</f>
        <v>#DIV/0!</v>
      </c>
      <c r="AG32" s="1" t="e">
        <f>AF32*((Strumenti!AB31/(AC33-AC32))+(Strumenti!AC31/(AB33-AB32)))</f>
        <v>#DIV/0!</v>
      </c>
      <c r="AO32" s="1"/>
      <c r="AP32" s="1"/>
      <c r="AQ32" s="1" t="e">
        <f t="shared" si="3"/>
        <v>#DIV/0!</v>
      </c>
      <c r="AR32" s="1" t="e">
        <f>AQ32*((Strumenti!AO31/AP32)+(Strumenti!AP31/AO32))</f>
        <v>#DIV/0!</v>
      </c>
      <c r="AS32" s="1" t="e">
        <f>(AP33-AP32)/(AO33-AO32)</f>
        <v>#DIV/0!</v>
      </c>
      <c r="AT32" s="1" t="e">
        <f>AS32*((Strumenti!AO31/(AP33-AP32))+(Strumenti!AP31/(AO33-AO32)))</f>
        <v>#DIV/0!</v>
      </c>
    </row>
    <row r="33" spans="1:46" x14ac:dyDescent="0.3">
      <c r="A33" s="1"/>
      <c r="B33" s="1"/>
      <c r="C33" s="1" t="e">
        <f t="shared" si="0"/>
        <v>#DIV/0!</v>
      </c>
      <c r="D33" s="1" t="e">
        <f>C33*((Strumenti!A32/B33)+(Strumenti!B32/A33))</f>
        <v>#DIV/0!</v>
      </c>
      <c r="E33" s="1" t="e">
        <f>(B34-B33)/(A34-A33)</f>
        <v>#DIV/0!</v>
      </c>
      <c r="F33" s="1" t="e">
        <f>E33*((Strumenti!A32/(B34-B33))+(Strumenti!B32/(A34-A33)))</f>
        <v>#DIV/0!</v>
      </c>
      <c r="O33" s="1"/>
      <c r="P33" s="1"/>
      <c r="Q33" s="1" t="e">
        <f t="shared" si="1"/>
        <v>#DIV/0!</v>
      </c>
      <c r="R33" s="1" t="e">
        <f>Q33*((Strumenti!O32/P33)+(Strumenti!P32/O33))</f>
        <v>#DIV/0!</v>
      </c>
      <c r="S33" s="1" t="e">
        <f>(P34-P33)/(O34-O33)</f>
        <v>#DIV/0!</v>
      </c>
      <c r="T33" s="1" t="e">
        <f>S33*((Strumenti!O32/(P34-P33))+(Strumenti!P32/(O34-O33)))</f>
        <v>#DIV/0!</v>
      </c>
      <c r="AB33" s="1"/>
      <c r="AC33" s="1"/>
      <c r="AD33" s="1" t="e">
        <f t="shared" si="2"/>
        <v>#DIV/0!</v>
      </c>
      <c r="AE33" s="1" t="e">
        <f>AD33*((Strumenti!AB32/AC33)+(Strumenti!AC32/AB33))</f>
        <v>#DIV/0!</v>
      </c>
      <c r="AF33" s="1" t="e">
        <f>(AC34-AC33)/(AB34-AB33)</f>
        <v>#DIV/0!</v>
      </c>
      <c r="AG33" s="1" t="e">
        <f>AF33*((Strumenti!AB32/(AC34-AC33))+(Strumenti!AC32/(AB34-AB33)))</f>
        <v>#DIV/0!</v>
      </c>
      <c r="AO33" s="1"/>
      <c r="AP33" s="1"/>
      <c r="AQ33" s="1" t="e">
        <f t="shared" si="3"/>
        <v>#DIV/0!</v>
      </c>
      <c r="AR33" s="1" t="e">
        <f>AQ33*((Strumenti!AO32/AP33)+(Strumenti!AP32/AO33))</f>
        <v>#DIV/0!</v>
      </c>
      <c r="AS33" s="1" t="e">
        <f>(AP34-AP33)/(AO34-AO33)</f>
        <v>#DIV/0!</v>
      </c>
      <c r="AT33" s="1" t="e">
        <f>AS33*((Strumenti!AO32/(AP34-AP33))+(Strumenti!AP32/(AO34-AO33)))</f>
        <v>#DIV/0!</v>
      </c>
    </row>
    <row r="34" spans="1:46" x14ac:dyDescent="0.3">
      <c r="A34" s="1"/>
      <c r="B34" s="1"/>
      <c r="C34" s="1" t="e">
        <f t="shared" si="0"/>
        <v>#DIV/0!</v>
      </c>
      <c r="D34" s="1" t="e">
        <f>C34*((Strumenti!A33/B34)+(Strumenti!B33/A34))</f>
        <v>#DIV/0!</v>
      </c>
      <c r="E34" s="1" t="e">
        <f>(B35-B34)/(A35-A34)</f>
        <v>#DIV/0!</v>
      </c>
      <c r="F34" s="1" t="e">
        <f>E34*((Strumenti!A33/(B35-B34))+(Strumenti!B33/(A35-A34)))</f>
        <v>#DIV/0!</v>
      </c>
      <c r="O34" s="1"/>
      <c r="P34" s="1"/>
      <c r="Q34" s="1" t="e">
        <f t="shared" si="1"/>
        <v>#DIV/0!</v>
      </c>
      <c r="R34" s="1" t="e">
        <f>Q34*((Strumenti!O33/P34)+(Strumenti!P33/O34))</f>
        <v>#DIV/0!</v>
      </c>
      <c r="S34" s="1" t="e">
        <f>(P35-P34)/(O35-O34)</f>
        <v>#DIV/0!</v>
      </c>
      <c r="T34" s="1" t="e">
        <f>S34*((Strumenti!O33/(P35-P34))+(Strumenti!P33/(O35-O34)))</f>
        <v>#DIV/0!</v>
      </c>
      <c r="AB34" s="1"/>
      <c r="AC34" s="1"/>
      <c r="AD34" s="1" t="e">
        <f t="shared" si="2"/>
        <v>#DIV/0!</v>
      </c>
      <c r="AE34" s="1" t="e">
        <f>AD34*((Strumenti!AB33/AC34)+(Strumenti!AC33/AB34))</f>
        <v>#DIV/0!</v>
      </c>
      <c r="AF34" s="1" t="e">
        <f>(AC35-AC34)/(AB35-AB34)</f>
        <v>#DIV/0!</v>
      </c>
      <c r="AG34" s="1" t="e">
        <f>AF34*((Strumenti!AB33/(AC35-AC34))+(Strumenti!AC33/(AB35-AB34)))</f>
        <v>#DIV/0!</v>
      </c>
      <c r="AO34" s="1"/>
      <c r="AP34" s="1"/>
      <c r="AQ34" s="1" t="e">
        <f t="shared" si="3"/>
        <v>#DIV/0!</v>
      </c>
      <c r="AR34" s="1" t="e">
        <f>AQ34*((Strumenti!AO33/AP34)+(Strumenti!AP33/AO34))</f>
        <v>#DIV/0!</v>
      </c>
      <c r="AS34" s="1" t="e">
        <f>(AP35-AP34)/(AO35-AO34)</f>
        <v>#DIV/0!</v>
      </c>
      <c r="AT34" s="1" t="e">
        <f>AS34*((Strumenti!AO33/(AP35-AP34))+(Strumenti!AP33/(AO35-AO34)))</f>
        <v>#DIV/0!</v>
      </c>
    </row>
    <row r="35" spans="1:46" x14ac:dyDescent="0.3">
      <c r="A35" s="1"/>
      <c r="B35" s="1"/>
      <c r="C35" s="1" t="e">
        <f t="shared" si="0"/>
        <v>#DIV/0!</v>
      </c>
      <c r="D35" s="1" t="e">
        <f>C35*((Strumenti!A34/B35)+(Strumenti!B34/A35))</f>
        <v>#DIV/0!</v>
      </c>
      <c r="E35" s="1" t="e">
        <f>(B36-B35)/(A36-A35)</f>
        <v>#DIV/0!</v>
      </c>
      <c r="F35" s="1" t="e">
        <f>E35*((Strumenti!A34/(B36-B35))+(Strumenti!B34/(A36-A35)))</f>
        <v>#DIV/0!</v>
      </c>
      <c r="O35" s="1"/>
      <c r="P35" s="1"/>
      <c r="Q35" s="1" t="e">
        <f t="shared" si="1"/>
        <v>#DIV/0!</v>
      </c>
      <c r="R35" s="1" t="e">
        <f>Q35*((Strumenti!O34/P35)+(Strumenti!P34/O35))</f>
        <v>#DIV/0!</v>
      </c>
      <c r="S35" s="1" t="e">
        <f>(P36-P35)/(O36-O35)</f>
        <v>#DIV/0!</v>
      </c>
      <c r="T35" s="1" t="e">
        <f>S35*((Strumenti!O34/(P36-P35))+(Strumenti!P34/(O36-O35)))</f>
        <v>#DIV/0!</v>
      </c>
      <c r="AB35" s="1"/>
      <c r="AC35" s="1"/>
      <c r="AD35" s="1" t="e">
        <f t="shared" si="2"/>
        <v>#DIV/0!</v>
      </c>
      <c r="AE35" s="1" t="e">
        <f>AD35*((Strumenti!AB34/AC35)+(Strumenti!AC34/AB35))</f>
        <v>#DIV/0!</v>
      </c>
      <c r="AF35" s="1" t="e">
        <f>(AC36-AC35)/(AB36-AB35)</f>
        <v>#DIV/0!</v>
      </c>
      <c r="AG35" s="1" t="e">
        <f>AF35*((Strumenti!AB34/(AC36-AC35))+(Strumenti!AC34/(AB36-AB35)))</f>
        <v>#DIV/0!</v>
      </c>
      <c r="AO35" s="1"/>
      <c r="AP35" s="1"/>
      <c r="AQ35" s="1" t="e">
        <f t="shared" si="3"/>
        <v>#DIV/0!</v>
      </c>
      <c r="AR35" s="1" t="e">
        <f>AQ35*((Strumenti!AO34/AP35)+(Strumenti!AP34/AO35))</f>
        <v>#DIV/0!</v>
      </c>
      <c r="AS35" s="1" t="e">
        <f>(AP36-AP35)/(AO36-AO35)</f>
        <v>#DIV/0!</v>
      </c>
      <c r="AT35" s="1" t="e">
        <f>AS35*((Strumenti!AO34/(AP36-AP35))+(Strumenti!AP34/(AO36-AO35)))</f>
        <v>#DIV/0!</v>
      </c>
    </row>
    <row r="36" spans="1:46" x14ac:dyDescent="0.3">
      <c r="A36" s="1"/>
      <c r="B36" s="1"/>
      <c r="C36" s="1" t="e">
        <f t="shared" si="0"/>
        <v>#DIV/0!</v>
      </c>
      <c r="D36" s="1" t="e">
        <f>C36*((Strumenti!A35/B36)+(Strumenti!B35/A36))</f>
        <v>#DIV/0!</v>
      </c>
      <c r="E36" s="1" t="e">
        <f>(B37-B36)/(A37-A36)</f>
        <v>#DIV/0!</v>
      </c>
      <c r="F36" s="1" t="e">
        <f>E36*((Strumenti!A35/(B37-B36))+(Strumenti!B35/(A37-A36)))</f>
        <v>#DIV/0!</v>
      </c>
      <c r="O36" s="1"/>
      <c r="P36" s="1"/>
      <c r="Q36" s="1" t="e">
        <f t="shared" si="1"/>
        <v>#DIV/0!</v>
      </c>
      <c r="R36" s="1" t="e">
        <f>Q36*((Strumenti!O35/P36)+(Strumenti!P35/O36))</f>
        <v>#DIV/0!</v>
      </c>
      <c r="S36" s="1" t="e">
        <f>(P37-P36)/(O37-O36)</f>
        <v>#DIV/0!</v>
      </c>
      <c r="T36" s="1" t="e">
        <f>S36*((Strumenti!O35/(P37-P36))+(Strumenti!P35/(O37-O36)))</f>
        <v>#DIV/0!</v>
      </c>
      <c r="AB36" s="1"/>
      <c r="AC36" s="1"/>
      <c r="AD36" s="1" t="e">
        <f t="shared" si="2"/>
        <v>#DIV/0!</v>
      </c>
      <c r="AE36" s="1" t="e">
        <f>AD36*((Strumenti!AB35/AC36)+(Strumenti!AC35/AB36))</f>
        <v>#DIV/0!</v>
      </c>
      <c r="AF36" s="1" t="e">
        <f>(AC37-AC36)/(AB37-AB36)</f>
        <v>#DIV/0!</v>
      </c>
      <c r="AG36" s="1" t="e">
        <f>AF36*((Strumenti!AB35/(AC37-AC36))+(Strumenti!AC35/(AB37-AB36)))</f>
        <v>#DIV/0!</v>
      </c>
      <c r="AO36" s="1"/>
      <c r="AP36" s="1"/>
      <c r="AQ36" s="1" t="e">
        <f t="shared" si="3"/>
        <v>#DIV/0!</v>
      </c>
      <c r="AR36" s="1" t="e">
        <f>AQ36*((Strumenti!AO35/AP36)+(Strumenti!AP35/AO36))</f>
        <v>#DIV/0!</v>
      </c>
      <c r="AS36" s="1" t="e">
        <f>(AP37-AP36)/(AO37-AO36)</f>
        <v>#DIV/0!</v>
      </c>
      <c r="AT36" s="1" t="e">
        <f>AS36*((Strumenti!AO35/(AP37-AP36))+(Strumenti!AP35/(AO37-AO36)))</f>
        <v>#DIV/0!</v>
      </c>
    </row>
    <row r="37" spans="1:46" x14ac:dyDescent="0.3">
      <c r="A37" s="1"/>
      <c r="B37" s="1"/>
      <c r="C37" s="1" t="e">
        <f t="shared" si="0"/>
        <v>#DIV/0!</v>
      </c>
      <c r="D37" s="1" t="e">
        <f>C37*((Strumenti!A36/B37)+(Strumenti!B36/A37))</f>
        <v>#DIV/0!</v>
      </c>
      <c r="E37" s="1" t="e">
        <f>(#REF!-B37)/(#REF!-A37)</f>
        <v>#REF!</v>
      </c>
      <c r="F37" s="1" t="e">
        <f>E37*((Strumenti!A36/(#REF!-B37))+(Strumenti!B36/(#REF!-A37)))</f>
        <v>#REF!</v>
      </c>
      <c r="O37" s="1"/>
      <c r="P37" s="1"/>
      <c r="Q37" s="1" t="e">
        <f t="shared" si="1"/>
        <v>#DIV/0!</v>
      </c>
      <c r="R37" s="1" t="e">
        <f>Q37*((Strumenti!O36/P37)+(Strumenti!P36/O37))</f>
        <v>#DIV/0!</v>
      </c>
      <c r="S37" s="1" t="e">
        <f>(#REF!-P37)/(#REF!-O37)</f>
        <v>#REF!</v>
      </c>
      <c r="T37" s="1" t="e">
        <f>S37*((Strumenti!O36/(#REF!-P37))+(Strumenti!P36/(#REF!-O37)))</f>
        <v>#REF!</v>
      </c>
      <c r="AB37" s="1"/>
      <c r="AC37" s="1"/>
      <c r="AD37" s="1" t="e">
        <f t="shared" si="2"/>
        <v>#DIV/0!</v>
      </c>
      <c r="AE37" s="1" t="e">
        <f>AD37*((Strumenti!AB36/AC37)+(Strumenti!AC36/AB37))</f>
        <v>#DIV/0!</v>
      </c>
      <c r="AF37" s="1" t="e">
        <f>(#REF!-AC37)/(#REF!-AB37)</f>
        <v>#REF!</v>
      </c>
      <c r="AG37" s="1" t="e">
        <f>AF37*((Strumenti!AB36/(#REF!-AC37))+(Strumenti!AC36/(#REF!-AB37)))</f>
        <v>#REF!</v>
      </c>
      <c r="AO37" s="1"/>
      <c r="AP37" s="1"/>
      <c r="AQ37" s="1" t="e">
        <f t="shared" si="3"/>
        <v>#DIV/0!</v>
      </c>
      <c r="AR37" s="1" t="e">
        <f>AQ37*((Strumenti!AO36/AP37)+(Strumenti!AP36/AO37))</f>
        <v>#DIV/0!</v>
      </c>
      <c r="AS37" s="1" t="e">
        <f>(#REF!-AP37)/(#REF!-AO37)</f>
        <v>#REF!</v>
      </c>
      <c r="AT37" s="1" t="e">
        <f>AS37*((Strumenti!AO36/(#REF!-AP37))+(Strumenti!AP36/(#REF!-AO37)))</f>
        <v>#REF!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F52A-54CB-4C1C-8565-8B2F46D613FB}">
  <dimension ref="A1:N34"/>
  <sheetViews>
    <sheetView tabSelected="1" topLeftCell="A3" workbookViewId="0">
      <selection activeCell="R14" sqref="R14"/>
    </sheetView>
  </sheetViews>
  <sheetFormatPr defaultRowHeight="14.4" x14ac:dyDescent="0.3"/>
  <cols>
    <col min="5" max="5" width="9.88671875" bestFit="1" customWidth="1"/>
    <col min="6" max="6" width="12.109375" bestFit="1" customWidth="1"/>
    <col min="14" max="14" width="12.109375" bestFit="1" customWidth="1"/>
  </cols>
  <sheetData>
    <row r="1" spans="1:14" x14ac:dyDescent="0.3">
      <c r="A1" s="5" t="s">
        <v>18</v>
      </c>
      <c r="B1" s="5"/>
      <c r="I1" s="5" t="s">
        <v>19</v>
      </c>
      <c r="J1" s="5"/>
    </row>
    <row r="2" spans="1:14" x14ac:dyDescent="0.3">
      <c r="A2" s="2" t="s">
        <v>13</v>
      </c>
      <c r="B2" s="2" t="s">
        <v>11</v>
      </c>
      <c r="C2" s="2" t="s">
        <v>12</v>
      </c>
      <c r="E2" s="2" t="s">
        <v>34</v>
      </c>
      <c r="F2" s="2" t="s">
        <v>35</v>
      </c>
      <c r="I2" s="2" t="s">
        <v>13</v>
      </c>
      <c r="J2" s="2" t="s">
        <v>11</v>
      </c>
      <c r="K2" s="2" t="s">
        <v>12</v>
      </c>
      <c r="M2" s="2" t="s">
        <v>16</v>
      </c>
      <c r="N2" s="2" t="s">
        <v>17</v>
      </c>
    </row>
    <row r="3" spans="1:14" x14ac:dyDescent="0.3">
      <c r="A3" s="1"/>
      <c r="B3" s="1">
        <f>MIN(A3:A34)</f>
        <v>0</v>
      </c>
      <c r="C3" s="1">
        <f>MAX(A3:A34)</f>
        <v>0</v>
      </c>
      <c r="E3" s="1" t="e">
        <f>0.5*((Strumenti!B5/C3)-1)*Strumenti!E2</f>
        <v>#DIV/0!</v>
      </c>
      <c r="F3" s="1" t="e">
        <f>E3*(2*Strumenti!A2/C3+Strumenti!F2/Strumenti!E2)</f>
        <v>#DIV/0!</v>
      </c>
      <c r="I3" s="1"/>
      <c r="J3" s="1"/>
      <c r="K3" s="1"/>
      <c r="M3" s="1" t="e">
        <f>((Strumenti!J5/K3)-1)*Strumenti!M2</f>
        <v>#DIV/0!</v>
      </c>
      <c r="N3" s="1" t="e">
        <f>M3*(2*Strumenti!I2/K3+Strumenti!N2/Strumenti!M2)</f>
        <v>#DIV/0!</v>
      </c>
    </row>
    <row r="4" spans="1:14" x14ac:dyDescent="0.3">
      <c r="A4" s="1"/>
      <c r="I4" s="1"/>
    </row>
    <row r="5" spans="1:14" x14ac:dyDescent="0.3">
      <c r="A5" s="1"/>
      <c r="E5" s="6" t="s">
        <v>32</v>
      </c>
      <c r="F5" s="6" t="s">
        <v>33</v>
      </c>
      <c r="I5" s="1"/>
      <c r="M5" s="6" t="s">
        <v>26</v>
      </c>
      <c r="N5" s="6" t="s">
        <v>27</v>
      </c>
    </row>
    <row r="6" spans="1:14" x14ac:dyDescent="0.3">
      <c r="A6" s="1"/>
      <c r="E6" s="1" t="e">
        <f>(E3+Strumenti!E2)*Strumenti!H2</f>
        <v>#DIV/0!</v>
      </c>
      <c r="F6" s="1" t="e">
        <f>E6*((Strumenti!I2/Strumenti!H2)+(Strumenti!F2/Strumenti!E2))</f>
        <v>#DIV/0!</v>
      </c>
      <c r="I6" s="1"/>
      <c r="M6" s="1" t="e">
        <f>(M3+Strumenti!M2)*Strumenti!P2</f>
        <v>#DIV/0!</v>
      </c>
      <c r="N6" s="1" t="e">
        <f>M6*((Strumenti!Q2/Strumenti!P2)+(Strumenti!N2/Strumenti!M2))</f>
        <v>#DIV/0!</v>
      </c>
    </row>
    <row r="7" spans="1:14" x14ac:dyDescent="0.3">
      <c r="A7" s="1"/>
      <c r="I7" s="1"/>
    </row>
    <row r="8" spans="1:14" x14ac:dyDescent="0.3">
      <c r="A8" s="1"/>
      <c r="E8" s="2" t="s">
        <v>28</v>
      </c>
      <c r="F8" s="2" t="s">
        <v>29</v>
      </c>
      <c r="I8" s="1"/>
      <c r="M8" s="2" t="s">
        <v>28</v>
      </c>
      <c r="N8" s="2" t="s">
        <v>29</v>
      </c>
    </row>
    <row r="9" spans="1:14" x14ac:dyDescent="0.3">
      <c r="A9" s="1"/>
      <c r="E9" s="1">
        <f>C3-B3</f>
        <v>0</v>
      </c>
      <c r="F9" s="1" t="e">
        <f>((2*Strumenti!A2/C3)+(2*Strumenti!A2/B3))*E9</f>
        <v>#DIV/0!</v>
      </c>
      <c r="I9" s="1"/>
      <c r="M9" s="1">
        <f>K3-J3</f>
        <v>0</v>
      </c>
      <c r="N9" s="1">
        <f>4*Strumenti!I2</f>
        <v>0</v>
      </c>
    </row>
    <row r="10" spans="1:14" x14ac:dyDescent="0.3">
      <c r="A10" s="1"/>
      <c r="I10" s="1"/>
    </row>
    <row r="11" spans="1:14" x14ac:dyDescent="0.3">
      <c r="A11" s="1"/>
      <c r="E11" s="2" t="s">
        <v>31</v>
      </c>
      <c r="F11" s="2" t="s">
        <v>29</v>
      </c>
      <c r="I11" s="1"/>
      <c r="M11" s="2" t="s">
        <v>31</v>
      </c>
      <c r="N11" s="2" t="s">
        <v>29</v>
      </c>
    </row>
    <row r="12" spans="1:14" x14ac:dyDescent="0.3">
      <c r="A12" s="1"/>
      <c r="E12" s="1">
        <f>0.5*(B3+C3)</f>
        <v>0</v>
      </c>
      <c r="F12" s="1" t="e">
        <f>((2*Strumenti!A2/C3)+(2*Strumenti!A2/B3))*E12</f>
        <v>#DIV/0!</v>
      </c>
      <c r="I12" s="1"/>
      <c r="M12" s="1">
        <f>0.5*(J3+K3)</f>
        <v>0</v>
      </c>
      <c r="N12" s="1">
        <f>N9</f>
        <v>0</v>
      </c>
    </row>
    <row r="13" spans="1:14" x14ac:dyDescent="0.3">
      <c r="A13" s="1"/>
      <c r="I13" s="1"/>
    </row>
    <row r="14" spans="1:14" x14ac:dyDescent="0.3">
      <c r="A14" s="1"/>
      <c r="E14" s="7" t="s">
        <v>30</v>
      </c>
      <c r="F14" s="7" t="s">
        <v>36</v>
      </c>
      <c r="I14" s="1"/>
      <c r="M14" s="7" t="s">
        <v>30</v>
      </c>
      <c r="N14" s="7" t="s">
        <v>36</v>
      </c>
    </row>
    <row r="15" spans="1:14" x14ac:dyDescent="0.3">
      <c r="A15" s="1"/>
      <c r="E15" s="1" t="e">
        <f>E9/E12</f>
        <v>#DIV/0!</v>
      </c>
      <c r="F15" s="1" t="e" cm="1">
        <f t="array" aca="1" ref="F15" ca="1">E15*((F12/E12)+F(F9/E9))</f>
        <v>#DIV/0!</v>
      </c>
      <c r="I15" s="1"/>
      <c r="M15" s="1" t="e">
        <f>M9/M12</f>
        <v>#DIV/0!</v>
      </c>
      <c r="N15" s="1" t="e" cm="1">
        <f t="array" aca="1" ref="N15" ca="1">M15*((N12/M12)+F(N9/M9))</f>
        <v>#DIV/0!</v>
      </c>
    </row>
    <row r="16" spans="1:14" x14ac:dyDescent="0.3">
      <c r="A16" s="1"/>
      <c r="I16" s="1"/>
    </row>
    <row r="17" spans="1:14" x14ac:dyDescent="0.3">
      <c r="A17" s="1"/>
      <c r="E17" s="7" t="s">
        <v>40</v>
      </c>
      <c r="I17" s="1"/>
      <c r="M17" s="7" t="s">
        <v>40</v>
      </c>
    </row>
    <row r="18" spans="1:14" x14ac:dyDescent="0.3">
      <c r="A18" s="1"/>
      <c r="E18" s="1" t="e">
        <f>B3/C3</f>
        <v>#DIV/0!</v>
      </c>
      <c r="I18" s="1"/>
      <c r="M18" s="1" t="e">
        <f>J3/K3</f>
        <v>#DIV/0!</v>
      </c>
    </row>
    <row r="19" spans="1:14" x14ac:dyDescent="0.3">
      <c r="A19" s="1"/>
      <c r="I19" s="1"/>
    </row>
    <row r="20" spans="1:14" x14ac:dyDescent="0.3">
      <c r="A20" s="1"/>
      <c r="E20" s="2" t="s">
        <v>38</v>
      </c>
      <c r="F20" s="7" t="s">
        <v>37</v>
      </c>
      <c r="I20" s="1"/>
      <c r="M20" s="2" t="s">
        <v>38</v>
      </c>
      <c r="N20" s="7" t="s">
        <v>37</v>
      </c>
    </row>
    <row r="21" spans="1:14" x14ac:dyDescent="0.3">
      <c r="A21" s="1"/>
      <c r="E21" s="1"/>
      <c r="F21" s="1" t="e">
        <f>-EXP(E21/E6)</f>
        <v>#DIV/0!</v>
      </c>
      <c r="I21" s="1"/>
      <c r="M21" s="1"/>
      <c r="N21" s="1" t="e">
        <f>-EXP(M21/M6)</f>
        <v>#DIV/0!</v>
      </c>
    </row>
    <row r="22" spans="1:14" x14ac:dyDescent="0.3">
      <c r="A22" s="1"/>
      <c r="I22" s="1"/>
    </row>
    <row r="23" spans="1:14" x14ac:dyDescent="0.3">
      <c r="A23" s="1"/>
      <c r="E23" s="7" t="s">
        <v>39</v>
      </c>
      <c r="I23" s="1"/>
      <c r="M23" s="7" t="s">
        <v>39</v>
      </c>
    </row>
    <row r="24" spans="1:14" x14ac:dyDescent="0.3">
      <c r="A24" s="1"/>
      <c r="E24" s="1" t="e">
        <f>F21/E18</f>
        <v>#DIV/0!</v>
      </c>
      <c r="I24" s="1"/>
      <c r="M24" s="1" t="e">
        <f>N21/M18</f>
        <v>#DIV/0!</v>
      </c>
    </row>
    <row r="25" spans="1:14" x14ac:dyDescent="0.3">
      <c r="A25" s="1"/>
      <c r="I25" s="1"/>
    </row>
    <row r="26" spans="1:14" x14ac:dyDescent="0.3">
      <c r="A26" s="1"/>
      <c r="I26" s="1"/>
    </row>
    <row r="27" spans="1:14" x14ac:dyDescent="0.3">
      <c r="A27" s="1"/>
      <c r="I27" s="1"/>
    </row>
    <row r="28" spans="1:14" x14ac:dyDescent="0.3">
      <c r="A28" s="1"/>
      <c r="I28" s="1"/>
    </row>
    <row r="29" spans="1:14" x14ac:dyDescent="0.3">
      <c r="A29" s="1"/>
      <c r="I29" s="1"/>
    </row>
    <row r="30" spans="1:14" x14ac:dyDescent="0.3">
      <c r="A30" s="1"/>
      <c r="I30" s="1"/>
    </row>
    <row r="31" spans="1:14" x14ac:dyDescent="0.3">
      <c r="A31" s="1"/>
      <c r="I31" s="1"/>
    </row>
    <row r="32" spans="1:14" x14ac:dyDescent="0.3">
      <c r="A32" s="1"/>
      <c r="I32" s="1"/>
    </row>
    <row r="33" spans="1:9" x14ac:dyDescent="0.3">
      <c r="A33" s="1"/>
      <c r="I33" s="1"/>
    </row>
    <row r="34" spans="1:9" x14ac:dyDescent="0.3">
      <c r="A34" s="1"/>
      <c r="I34" s="1"/>
    </row>
  </sheetData>
  <mergeCells count="2">
    <mergeCell ref="A1:B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84D7-340C-42DA-885E-5430B97DA5CA}">
  <dimension ref="A2:B3"/>
  <sheetViews>
    <sheetView workbookViewId="0">
      <selection activeCell="A2" sqref="A2:B3"/>
    </sheetView>
  </sheetViews>
  <sheetFormatPr defaultRowHeight="14.4" x14ac:dyDescent="0.3"/>
  <cols>
    <col min="1" max="1" width="9.5546875" customWidth="1"/>
  </cols>
  <sheetData>
    <row r="2" spans="1:2" x14ac:dyDescent="0.3">
      <c r="A2" s="1"/>
      <c r="B2" s="1"/>
    </row>
    <row r="3" spans="1:2" x14ac:dyDescent="0.3">
      <c r="A3" s="1">
        <f>'FASE DI MISURA'!C3-'FASE DI MISURA'!B3</f>
        <v>0</v>
      </c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Strumenti</vt:lpstr>
      <vt:lpstr>CURVE DIODI</vt:lpstr>
      <vt:lpstr>FASE DI MISURA</vt:lpstr>
      <vt:lpstr>PARAMETRI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MIROLO MANUELE [SM2001968]</dc:creator>
  <cp:lastModifiedBy>MIROLO MANUELE [SM2001968]</cp:lastModifiedBy>
  <dcterms:created xsi:type="dcterms:W3CDTF">2025-12-15T13:43:00Z</dcterms:created>
  <dcterms:modified xsi:type="dcterms:W3CDTF">2025-12-15T14:29:42Z</dcterms:modified>
</cp:coreProperties>
</file>