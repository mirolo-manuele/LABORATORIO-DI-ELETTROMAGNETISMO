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4\codici\"/>
    </mc:Choice>
  </mc:AlternateContent>
  <xr:revisionPtr revIDLastSave="0" documentId="13_ncr:1_{AAA61728-C0EB-4001-A4A1-41A23D8F54C0}" xr6:coauthVersionLast="47" xr6:coauthVersionMax="47" xr10:uidLastSave="{00000000-0000-0000-0000-000000000000}"/>
  <bookViews>
    <workbookView xWindow="-108" yWindow="-108" windowWidth="23256" windowHeight="12456" xr2:uid="{E53D3B92-3A35-43B7-8ADF-E3EF825D73FE}"/>
  </bookViews>
  <sheets>
    <sheet name="Carica condensatore" sheetId="1" r:id="rId1"/>
    <sheet name="Lampadina al ne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P7" i="1"/>
  <c r="P6" i="1"/>
  <c r="Q6" i="1"/>
  <c r="K3" i="2"/>
  <c r="K4" i="2"/>
  <c r="K5" i="2"/>
  <c r="K6" i="2"/>
  <c r="K7" i="2"/>
  <c r="K8" i="2"/>
  <c r="K9" i="2"/>
  <c r="K10" i="2"/>
  <c r="K11" i="2"/>
  <c r="K12" i="2"/>
  <c r="K13" i="2"/>
  <c r="K14" i="2"/>
  <c r="K2" i="2"/>
  <c r="J5" i="2"/>
  <c r="J6" i="2"/>
  <c r="J7" i="2"/>
  <c r="J8" i="2"/>
  <c r="J9" i="2"/>
  <c r="J10" i="2"/>
  <c r="J11" i="2"/>
  <c r="J12" i="2"/>
  <c r="J13" i="2"/>
  <c r="J14" i="2"/>
  <c r="J4" i="2"/>
  <c r="J3" i="2"/>
  <c r="J2" i="2"/>
  <c r="I5" i="2"/>
  <c r="I6" i="2"/>
  <c r="I7" i="2"/>
  <c r="I8" i="2"/>
  <c r="I9" i="2"/>
  <c r="I10" i="2"/>
  <c r="I11" i="2"/>
  <c r="I12" i="2"/>
  <c r="I13" i="2"/>
  <c r="I14" i="2"/>
  <c r="I4" i="2"/>
  <c r="I3" i="2"/>
  <c r="I2" i="2"/>
  <c r="F23" i="2"/>
  <c r="F22" i="2"/>
  <c r="F21" i="2"/>
  <c r="G21" i="2" s="1"/>
  <c r="F20" i="2"/>
  <c r="F19" i="2"/>
  <c r="F18" i="2"/>
  <c r="F17" i="2"/>
  <c r="F16" i="2"/>
  <c r="F15" i="2"/>
  <c r="G15" i="2" s="1"/>
  <c r="F14" i="2"/>
  <c r="G14" i="2" s="1"/>
  <c r="F13" i="2"/>
  <c r="G13" i="2" s="1"/>
  <c r="H12" i="2"/>
  <c r="H6" i="2"/>
  <c r="G3" i="2"/>
  <c r="G4" i="2"/>
  <c r="G5" i="2"/>
  <c r="G6" i="2"/>
  <c r="G7" i="2"/>
  <c r="G8" i="2"/>
  <c r="G9" i="2"/>
  <c r="G10" i="2"/>
  <c r="G11" i="2"/>
  <c r="G12" i="2"/>
  <c r="G16" i="2"/>
  <c r="G17" i="2"/>
  <c r="G18" i="2"/>
  <c r="G19" i="2"/>
  <c r="G20" i="2"/>
  <c r="G2" i="2"/>
  <c r="R2" i="1"/>
  <c r="Q2" i="1"/>
  <c r="R1" i="1" a="1"/>
  <c r="R1" i="1" s="1"/>
  <c r="P2" i="1"/>
  <c r="M39" i="1"/>
  <c r="M40" i="1"/>
  <c r="M41" i="1"/>
  <c r="M42" i="1"/>
  <c r="M43" i="1"/>
  <c r="M44" i="1"/>
  <c r="M45" i="1"/>
  <c r="M46" i="1"/>
  <c r="M47" i="1"/>
  <c r="M48" i="1"/>
  <c r="M4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I10" i="1"/>
  <c r="I9" i="1"/>
  <c r="I7" i="1"/>
  <c r="I6" i="1"/>
  <c r="I5" i="1"/>
  <c r="I4" i="1"/>
  <c r="J3" i="1"/>
  <c r="I3" i="1"/>
  <c r="B2" i="1"/>
  <c r="M36" i="1"/>
  <c r="M37" i="1"/>
  <c r="M38" i="1"/>
  <c r="D3" i="1"/>
  <c r="E3" i="1" s="1"/>
  <c r="D4" i="1"/>
  <c r="E4" i="1" s="1"/>
  <c r="D5" i="1"/>
  <c r="E5" i="1" s="1"/>
  <c r="D6" i="1"/>
  <c r="E6" i="1" s="1"/>
  <c r="D7" i="1"/>
  <c r="D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D2" i="1"/>
  <c r="E7" i="1"/>
  <c r="E8" i="1"/>
  <c r="E19" i="1"/>
  <c r="E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<sst xmlns="http://schemas.openxmlformats.org/spreadsheetml/2006/main" count="28" uniqueCount="19">
  <si>
    <t>R</t>
  </si>
  <si>
    <t>C</t>
  </si>
  <si>
    <t>T</t>
  </si>
  <si>
    <t>exp</t>
  </si>
  <si>
    <t>frequenza</t>
  </si>
  <si>
    <t>t</t>
  </si>
  <si>
    <t>"-1/RC"</t>
  </si>
  <si>
    <t>WaveData540</t>
  </si>
  <si>
    <r>
      <t>91 k</t>
    </r>
    <r>
      <rPr>
        <sz val="11"/>
        <color theme="1"/>
        <rFont val="Aptos Narrow"/>
        <family val="2"/>
      </rPr>
      <t>Ω</t>
    </r>
  </si>
  <si>
    <t>0,008 μF</t>
  </si>
  <si>
    <t>Per accendere la lampadina</t>
  </si>
  <si>
    <t>V</t>
  </si>
  <si>
    <t>Frequenza</t>
  </si>
  <si>
    <t>log V</t>
  </si>
  <si>
    <t>Fit</t>
  </si>
  <si>
    <t>atteso</t>
  </si>
  <si>
    <t>RC</t>
  </si>
  <si>
    <t xml:space="preserve"> σ</t>
  </si>
  <si>
    <t>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</si>
</sst>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'Carica condensatore'!$J$2</c:f>
              <c:strCache>
                <c:ptCount val="1"/>
                <c:pt idx="0">
                  <c:v>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'Carica condensatore'!$I$3:$I$38</c:f>
              <c:numCache>
                <c:formatCode>General</c:formatCode>
                <c:ptCount val="36"/>
                <c:pt idx="0">
                  <c:v>1.0000000000000001E-7</c:v>
                </c:pt>
                <c:pt idx="1">
                  <c:v>5.0000000000000008E-7</c:v>
                </c:pt>
                <c:pt idx="2">
                  <c:v>6.0000000000000008E-7</c:v>
                </c:pt>
                <c:pt idx="3">
                  <c:v>6.9999999999999997E-7</c:v>
                </c:pt>
                <c:pt idx="4">
                  <c:v>7.9999999999999996E-7</c:v>
                </c:pt>
                <c:pt idx="5">
                  <c:v>8.9999999999999996E-7</c:v>
                </c:pt>
                <c:pt idx="6">
                  <c:v>1.0500000000000001E-6</c:v>
                </c:pt>
                <c:pt idx="7">
                  <c:v>1.1999999999999999E-6</c:v>
                </c:pt>
                <c:pt idx="8">
                  <c:v>1.3E-6</c:v>
                </c:pt>
                <c:pt idx="9">
                  <c:v>1.4500000000000001E-6</c:v>
                </c:pt>
                <c:pt idx="10">
                  <c:v>1.5999999999999999E-6</c:v>
                </c:pt>
                <c:pt idx="11">
                  <c:v>1.8500000000000001E-6</c:v>
                </c:pt>
                <c:pt idx="12">
                  <c:v>2.0499999999999999E-6</c:v>
                </c:pt>
                <c:pt idx="13">
                  <c:v>2.2000000000000001E-6</c:v>
                </c:pt>
                <c:pt idx="14">
                  <c:v>2.3499999999999999E-6</c:v>
                </c:pt>
                <c:pt idx="15">
                  <c:v>2.5000000000000002E-6</c:v>
                </c:pt>
                <c:pt idx="16">
                  <c:v>2.9000000000000002E-6</c:v>
                </c:pt>
                <c:pt idx="17">
                  <c:v>3.1499999999999999E-6</c:v>
                </c:pt>
                <c:pt idx="18">
                  <c:v>3.3500000000000001E-6</c:v>
                </c:pt>
                <c:pt idx="19">
                  <c:v>3.5499999999999999E-6</c:v>
                </c:pt>
                <c:pt idx="20">
                  <c:v>3.8E-6</c:v>
                </c:pt>
                <c:pt idx="21">
                  <c:v>4.25E-6</c:v>
                </c:pt>
                <c:pt idx="22">
                  <c:v>4.8500000000000002E-6</c:v>
                </c:pt>
                <c:pt idx="23">
                  <c:v>5.4999999999999999E-6</c:v>
                </c:pt>
                <c:pt idx="24">
                  <c:v>6.1E-6</c:v>
                </c:pt>
                <c:pt idx="25">
                  <c:v>6.8499999999999996E-6</c:v>
                </c:pt>
                <c:pt idx="26">
                  <c:v>7.25E-6</c:v>
                </c:pt>
                <c:pt idx="27">
                  <c:v>7.9000000000000006E-6</c:v>
                </c:pt>
                <c:pt idx="28">
                  <c:v>8.5499999999999995E-6</c:v>
                </c:pt>
                <c:pt idx="29">
                  <c:v>9.2E-6</c:v>
                </c:pt>
                <c:pt idx="30">
                  <c:v>1.08E-5</c:v>
                </c:pt>
                <c:pt idx="31">
                  <c:v>1.205E-5</c:v>
                </c:pt>
                <c:pt idx="32">
                  <c:v>1.2500000000000001E-5</c:v>
                </c:pt>
              </c:numCache>
            </c:numRef>
          </c:xVal>
          <c:yVal>
            <c:numRef>
              <c:f>'Carica condensatore'!$J$3:$J$38</c:f>
              <c:numCache>
                <c:formatCode>General</c:formatCode>
                <c:ptCount val="36"/>
                <c:pt idx="0">
                  <c:v>0.4</c:v>
                </c:pt>
                <c:pt idx="1">
                  <c:v>4.8</c:v>
                </c:pt>
                <c:pt idx="2">
                  <c:v>5.2</c:v>
                </c:pt>
                <c:pt idx="3">
                  <c:v>6.4</c:v>
                </c:pt>
                <c:pt idx="4">
                  <c:v>7.2</c:v>
                </c:pt>
                <c:pt idx="5">
                  <c:v>8.8000000000000007</c:v>
                </c:pt>
                <c:pt idx="6">
                  <c:v>9.6</c:v>
                </c:pt>
                <c:pt idx="7">
                  <c:v>10.8</c:v>
                </c:pt>
                <c:pt idx="8">
                  <c:v>12.4</c:v>
                </c:pt>
                <c:pt idx="9">
                  <c:v>12.8</c:v>
                </c:pt>
                <c:pt idx="10">
                  <c:v>13.6</c:v>
                </c:pt>
                <c:pt idx="11">
                  <c:v>15.2</c:v>
                </c:pt>
                <c:pt idx="12">
                  <c:v>16.399999999999999</c:v>
                </c:pt>
                <c:pt idx="13">
                  <c:v>16.8</c:v>
                </c:pt>
                <c:pt idx="14">
                  <c:v>18</c:v>
                </c:pt>
                <c:pt idx="15">
                  <c:v>18.8</c:v>
                </c:pt>
                <c:pt idx="16">
                  <c:v>20.399999999999999</c:v>
                </c:pt>
                <c:pt idx="17">
                  <c:v>20.8</c:v>
                </c:pt>
                <c:pt idx="18">
                  <c:v>22</c:v>
                </c:pt>
                <c:pt idx="19">
                  <c:v>22.4</c:v>
                </c:pt>
                <c:pt idx="20">
                  <c:v>22.8</c:v>
                </c:pt>
                <c:pt idx="21">
                  <c:v>23.6</c:v>
                </c:pt>
                <c:pt idx="22">
                  <c:v>25.2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26.4</c:v>
                </c:pt>
                <c:pt idx="27">
                  <c:v>27.2</c:v>
                </c:pt>
                <c:pt idx="28">
                  <c:v>27.6</c:v>
                </c:pt>
                <c:pt idx="29">
                  <c:v>27.6</c:v>
                </c:pt>
                <c:pt idx="30">
                  <c:v>27.6</c:v>
                </c:pt>
                <c:pt idx="31">
                  <c:v>28</c:v>
                </c:pt>
                <c:pt idx="3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6-46A1-9757-7E6EB57B3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88928"/>
        <c:axId val="331298048"/>
      </c:scatterChart>
      <c:valAx>
        <c:axId val="33128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1298048"/>
        <c:crosses val="autoZero"/>
        <c:crossBetween val="midCat"/>
      </c:valAx>
      <c:valAx>
        <c:axId val="3312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12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serie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'Carica condensatore'!$I$2:$I$35</c:f>
              <c:numCache>
                <c:formatCode>General</c:formatCode>
                <c:ptCount val="34"/>
                <c:pt idx="0">
                  <c:v>0</c:v>
                </c:pt>
                <c:pt idx="1">
                  <c:v>1.0000000000000001E-7</c:v>
                </c:pt>
                <c:pt idx="2">
                  <c:v>5.0000000000000008E-7</c:v>
                </c:pt>
                <c:pt idx="3">
                  <c:v>6.0000000000000008E-7</c:v>
                </c:pt>
                <c:pt idx="4">
                  <c:v>6.9999999999999997E-7</c:v>
                </c:pt>
                <c:pt idx="5">
                  <c:v>7.9999999999999996E-7</c:v>
                </c:pt>
                <c:pt idx="6">
                  <c:v>8.9999999999999996E-7</c:v>
                </c:pt>
                <c:pt idx="7">
                  <c:v>1.0500000000000001E-6</c:v>
                </c:pt>
                <c:pt idx="8">
                  <c:v>1.1999999999999999E-6</c:v>
                </c:pt>
                <c:pt idx="9">
                  <c:v>1.3E-6</c:v>
                </c:pt>
                <c:pt idx="10">
                  <c:v>1.4500000000000001E-6</c:v>
                </c:pt>
                <c:pt idx="11">
                  <c:v>1.5999999999999999E-6</c:v>
                </c:pt>
                <c:pt idx="12">
                  <c:v>1.8500000000000001E-6</c:v>
                </c:pt>
                <c:pt idx="13">
                  <c:v>2.0499999999999999E-6</c:v>
                </c:pt>
                <c:pt idx="14">
                  <c:v>2.2000000000000001E-6</c:v>
                </c:pt>
                <c:pt idx="15">
                  <c:v>2.3499999999999999E-6</c:v>
                </c:pt>
                <c:pt idx="16">
                  <c:v>2.5000000000000002E-6</c:v>
                </c:pt>
                <c:pt idx="17">
                  <c:v>2.9000000000000002E-6</c:v>
                </c:pt>
                <c:pt idx="18">
                  <c:v>3.1499999999999999E-6</c:v>
                </c:pt>
                <c:pt idx="19">
                  <c:v>3.3500000000000001E-6</c:v>
                </c:pt>
                <c:pt idx="20">
                  <c:v>3.5499999999999999E-6</c:v>
                </c:pt>
                <c:pt idx="21">
                  <c:v>3.8E-6</c:v>
                </c:pt>
                <c:pt idx="22">
                  <c:v>4.25E-6</c:v>
                </c:pt>
                <c:pt idx="23">
                  <c:v>4.8500000000000002E-6</c:v>
                </c:pt>
                <c:pt idx="24">
                  <c:v>5.4999999999999999E-6</c:v>
                </c:pt>
                <c:pt idx="25">
                  <c:v>6.1E-6</c:v>
                </c:pt>
                <c:pt idx="26">
                  <c:v>6.8499999999999996E-6</c:v>
                </c:pt>
                <c:pt idx="27">
                  <c:v>7.25E-6</c:v>
                </c:pt>
                <c:pt idx="28">
                  <c:v>7.9000000000000006E-6</c:v>
                </c:pt>
                <c:pt idx="29">
                  <c:v>8.5499999999999995E-6</c:v>
                </c:pt>
                <c:pt idx="30">
                  <c:v>9.2E-6</c:v>
                </c:pt>
                <c:pt idx="31">
                  <c:v>1.08E-5</c:v>
                </c:pt>
                <c:pt idx="32">
                  <c:v>1.205E-5</c:v>
                </c:pt>
                <c:pt idx="33">
                  <c:v>1.2500000000000001E-5</c:v>
                </c:pt>
              </c:numCache>
            </c:numRef>
          </c:xVal>
          <c:yVal>
            <c:numRef>
              <c:f>'Carica condensatore'!$M$2:$M$35</c:f>
              <c:numCache>
                <c:formatCode>General</c:formatCode>
                <c:ptCount val="34"/>
                <c:pt idx="0">
                  <c:v>3.3322045101752038</c:v>
                </c:pt>
                <c:pt idx="1">
                  <c:v>3.3178157727231046</c:v>
                </c:pt>
                <c:pt idx="2">
                  <c:v>3.1441522786722644</c:v>
                </c:pt>
                <c:pt idx="3">
                  <c:v>3.1267605359603952</c:v>
                </c:pt>
                <c:pt idx="4">
                  <c:v>3.0726933146901194</c:v>
                </c:pt>
                <c:pt idx="5">
                  <c:v>3.0349529867072724</c:v>
                </c:pt>
                <c:pt idx="6">
                  <c:v>2.954910279033736</c:v>
                </c:pt>
                <c:pt idx="7">
                  <c:v>2.91235066461494</c:v>
                </c:pt>
                <c:pt idx="8">
                  <c:v>2.8449093838194073</c:v>
                </c:pt>
                <c:pt idx="9">
                  <c:v>2.7472709142554912</c:v>
                </c:pt>
                <c:pt idx="10">
                  <c:v>2.7212954278522306</c:v>
                </c:pt>
                <c:pt idx="11">
                  <c:v>2.6672282065819548</c:v>
                </c:pt>
                <c:pt idx="12">
                  <c:v>2.5494451709255714</c:v>
                </c:pt>
                <c:pt idx="13">
                  <c:v>2.451005098112319</c:v>
                </c:pt>
                <c:pt idx="14">
                  <c:v>2.4159137783010487</c:v>
                </c:pt>
                <c:pt idx="15">
                  <c:v>2.3025850929940459</c:v>
                </c:pt>
                <c:pt idx="16">
                  <c:v>2.2192034840549946</c:v>
                </c:pt>
                <c:pt idx="17">
                  <c:v>2.0281482472922856</c:v>
                </c:pt>
                <c:pt idx="18">
                  <c:v>1.9740810260220096</c:v>
                </c:pt>
                <c:pt idx="19">
                  <c:v>1.791759469228055</c:v>
                </c:pt>
                <c:pt idx="20">
                  <c:v>1.7227665977411037</c:v>
                </c:pt>
                <c:pt idx="21">
                  <c:v>1.6486586255873816</c:v>
                </c:pt>
                <c:pt idx="22">
                  <c:v>1.4816045409242151</c:v>
                </c:pt>
                <c:pt idx="23">
                  <c:v>1.0296194171811586</c:v>
                </c:pt>
                <c:pt idx="24">
                  <c:v>0.69314718055994529</c:v>
                </c:pt>
                <c:pt idx="25">
                  <c:v>0.69314718055994529</c:v>
                </c:pt>
                <c:pt idx="26">
                  <c:v>0.69314718055994529</c:v>
                </c:pt>
                <c:pt idx="27">
                  <c:v>0.47000362924573647</c:v>
                </c:pt>
                <c:pt idx="28">
                  <c:v>-0.22314355131420888</c:v>
                </c:pt>
                <c:pt idx="29">
                  <c:v>-0.91629073187415866</c:v>
                </c:pt>
                <c:pt idx="30">
                  <c:v>-0.91629073187415866</c:v>
                </c:pt>
                <c:pt idx="31">
                  <c:v>-0.91629073187415866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E-4261-8305-0D9631F62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96128"/>
        <c:axId val="3312932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'Carica condensatore'!$I$38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'Carica condensatore'!$M$2:$M$38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3.3322045101752038</c:v>
                      </c:pt>
                      <c:pt idx="1">
                        <c:v>3.3178157727231046</c:v>
                      </c:pt>
                      <c:pt idx="2">
                        <c:v>3.1441522786722644</c:v>
                      </c:pt>
                      <c:pt idx="3">
                        <c:v>3.1267605359603952</c:v>
                      </c:pt>
                      <c:pt idx="4">
                        <c:v>3.0726933146901194</c:v>
                      </c:pt>
                      <c:pt idx="5">
                        <c:v>3.0349529867072724</c:v>
                      </c:pt>
                      <c:pt idx="6">
                        <c:v>2.954910279033736</c:v>
                      </c:pt>
                      <c:pt idx="7">
                        <c:v>2.91235066461494</c:v>
                      </c:pt>
                      <c:pt idx="8">
                        <c:v>2.8449093838194073</c:v>
                      </c:pt>
                      <c:pt idx="9">
                        <c:v>2.7472709142554912</c:v>
                      </c:pt>
                      <c:pt idx="10">
                        <c:v>2.7212954278522306</c:v>
                      </c:pt>
                      <c:pt idx="11">
                        <c:v>2.6672282065819548</c:v>
                      </c:pt>
                      <c:pt idx="12">
                        <c:v>2.5494451709255714</c:v>
                      </c:pt>
                      <c:pt idx="13">
                        <c:v>2.451005098112319</c:v>
                      </c:pt>
                      <c:pt idx="14">
                        <c:v>2.4159137783010487</c:v>
                      </c:pt>
                      <c:pt idx="15">
                        <c:v>2.3025850929940459</c:v>
                      </c:pt>
                      <c:pt idx="16">
                        <c:v>2.2192034840549946</c:v>
                      </c:pt>
                      <c:pt idx="17">
                        <c:v>2.0281482472922856</c:v>
                      </c:pt>
                      <c:pt idx="18">
                        <c:v>1.9740810260220096</c:v>
                      </c:pt>
                      <c:pt idx="19">
                        <c:v>1.791759469228055</c:v>
                      </c:pt>
                      <c:pt idx="20">
                        <c:v>1.7227665977411037</c:v>
                      </c:pt>
                      <c:pt idx="21">
                        <c:v>1.6486586255873816</c:v>
                      </c:pt>
                      <c:pt idx="22">
                        <c:v>1.4816045409242151</c:v>
                      </c:pt>
                      <c:pt idx="23">
                        <c:v>1.0296194171811586</c:v>
                      </c:pt>
                      <c:pt idx="24">
                        <c:v>0.69314718055994529</c:v>
                      </c:pt>
                      <c:pt idx="25">
                        <c:v>0.69314718055994529</c:v>
                      </c:pt>
                      <c:pt idx="26">
                        <c:v>0.69314718055994529</c:v>
                      </c:pt>
                      <c:pt idx="27">
                        <c:v>0.47000362924573647</c:v>
                      </c:pt>
                      <c:pt idx="28">
                        <c:v>-0.22314355131420888</c:v>
                      </c:pt>
                      <c:pt idx="29">
                        <c:v>-0.91629073187415866</c:v>
                      </c:pt>
                      <c:pt idx="30">
                        <c:v>-0.91629073187415866</c:v>
                      </c:pt>
                      <c:pt idx="31">
                        <c:v>-0.91629073187415866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'Carica condensatore'!$M$38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58E-4261-8305-0D9631F62077}"/>
                  </c:ext>
                </c:extLst>
              </c15:ser>
            </c15:filteredScatterSeries>
          </c:ext>
        </c:extLst>
      </c:scatterChart>
      <c:valAx>
        <c:axId val="3312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1293248"/>
        <c:crosses val="autoZero"/>
        <c:crossBetween val="midCat"/>
      </c:valAx>
      <c:valAx>
        <c:axId val="3312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129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'Lampadina al neon'!$I$2:$I$14</c:f>
              <c:numCache>
                <c:formatCode>General</c:formatCode>
                <c:ptCount val="13"/>
                <c:pt idx="0">
                  <c:v>75</c:v>
                </c:pt>
                <c:pt idx="1">
                  <c:v>75.599999999999994</c:v>
                </c:pt>
                <c:pt idx="2">
                  <c:v>75.900000000000006</c:v>
                </c:pt>
                <c:pt idx="3">
                  <c:v>76.3</c:v>
                </c:pt>
                <c:pt idx="4">
                  <c:v>76.5</c:v>
                </c:pt>
                <c:pt idx="5">
                  <c:v>77</c:v>
                </c:pt>
                <c:pt idx="6">
                  <c:v>77.3</c:v>
                </c:pt>
                <c:pt idx="7">
                  <c:v>77.599999999999994</c:v>
                </c:pt>
                <c:pt idx="8">
                  <c:v>77.900000000000006</c:v>
                </c:pt>
                <c:pt idx="9">
                  <c:v>78.2</c:v>
                </c:pt>
                <c:pt idx="10">
                  <c:v>79.2</c:v>
                </c:pt>
                <c:pt idx="11">
                  <c:v>80.7</c:v>
                </c:pt>
                <c:pt idx="12">
                  <c:v>82.8</c:v>
                </c:pt>
              </c:numCache>
            </c:numRef>
          </c:xVal>
          <c:yVal>
            <c:numRef>
              <c:f>'Lampadina al neon'!$K$2:$K$14</c:f>
              <c:numCache>
                <c:formatCode>General</c:formatCode>
                <c:ptCount val="13"/>
                <c:pt idx="0">
                  <c:v>187.61726078799251</c:v>
                </c:pt>
                <c:pt idx="1">
                  <c:v>192</c:v>
                </c:pt>
                <c:pt idx="2">
                  <c:v>186.56716417910448</c:v>
                </c:pt>
                <c:pt idx="3">
                  <c:v>208.33333333333334</c:v>
                </c:pt>
                <c:pt idx="4">
                  <c:v>209.79020979020979</c:v>
                </c:pt>
                <c:pt idx="5">
                  <c:v>289.85507246376812</c:v>
                </c:pt>
                <c:pt idx="6">
                  <c:v>315.45741324921136</c:v>
                </c:pt>
                <c:pt idx="7">
                  <c:v>338.40947546531299</c:v>
                </c:pt>
                <c:pt idx="8">
                  <c:v>361.6636528028933</c:v>
                </c:pt>
                <c:pt idx="9">
                  <c:v>387.09677419354841</c:v>
                </c:pt>
                <c:pt idx="10">
                  <c:v>474.57627118644075</c:v>
                </c:pt>
                <c:pt idx="11">
                  <c:v>588.23529411764707</c:v>
                </c:pt>
                <c:pt idx="12">
                  <c:v>740.74074074074065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9F-4D6E-A34A-38AEF4171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09072"/>
        <c:axId val="511707632"/>
      </c:scatterChart>
      <c:valAx>
        <c:axId val="51170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707632"/>
        <c:crosses val="autoZero"/>
        <c:crossBetween val="midCat"/>
      </c:valAx>
      <c:valAx>
        <c:axId val="51170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70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7</xdr:row>
      <xdr:rowOff>137160</xdr:rowOff>
    </xdr:from>
    <xdr:ext cx="1310640" cy="2430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F58C2F94-B173-4217-E3DC-2371845B63B7}"/>
                </a:ext>
              </a:extLst>
            </xdr:cNvPr>
            <xdr:cNvSpPr txBox="1"/>
          </xdr:nvSpPr>
          <xdr:spPr>
            <a:xfrm>
              <a:off x="4442460" y="1417320"/>
              <a:ext cx="1310640" cy="2430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it-IT" sz="1100" b="0" i="1">
                      <a:latin typeface="Cambria Math" panose="02040503050406030204" pitchFamily="18" charset="0"/>
                    </a:rPr>
                    <m:t>𝑉</m:t>
                  </m:r>
                  <m:d>
                    <m:d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</m:d>
                  <m:r>
                    <a:rPr lang="it-IT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𝑉</m:t>
                      </m:r>
                    </m:e>
                    <m:sub>
                      <m:r>
                        <a:rPr lang="it-IT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it-IT" sz="1100" b="0" i="1">
                      <a:latin typeface="Cambria Math" panose="02040503050406030204" pitchFamily="18" charset="0"/>
                    </a:rPr>
                    <m:t>(1−</m:t>
                  </m:r>
                  <m:sSup>
                    <m:sSupPr>
                      <m:ctrlPr>
                        <a:rPr lang="it-IT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it-IT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it-IT" sz="1100" b="0" i="1">
                          <a:latin typeface="Cambria Math" panose="02040503050406030204" pitchFamily="18" charset="0"/>
                        </a:rPr>
                        <m:t>−</m:t>
                      </m:r>
                      <m:f>
                        <m:fPr>
                          <m:ctrlPr>
                            <a:rPr lang="it-IT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num>
                        <m:den>
                          <m:r>
                            <a:rPr lang="it-IT" sz="1100" b="0" i="1">
                              <a:latin typeface="Cambria Math" panose="02040503050406030204" pitchFamily="18" charset="0"/>
                            </a:rPr>
                            <m:t>𝑅𝐶</m:t>
                          </m:r>
                        </m:den>
                      </m:f>
                    </m:sup>
                  </m:sSup>
                </m:oMath>
              </a14:m>
              <a:r>
                <a:rPr lang="it-IT" sz="1100"/>
                <a:t>)</a:t>
              </a:r>
            </a:p>
          </xdr:txBody>
        </xdr:sp>
      </mc:Choice>
      <mc:Fallback xmlns="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F58C2F94-B173-4217-E3DC-2371845B63B7}"/>
                </a:ext>
              </a:extLst>
            </xdr:cNvPr>
            <xdr:cNvSpPr txBox="1"/>
          </xdr:nvSpPr>
          <xdr:spPr>
            <a:xfrm>
              <a:off x="4442460" y="1417320"/>
              <a:ext cx="1310640" cy="2430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1100" b="0" i="0">
                  <a:latin typeface="Cambria Math" panose="02040503050406030204" pitchFamily="18" charset="0"/>
                </a:rPr>
                <a:t>𝑉(𝑡)=𝑉_0 (1−𝑒^(−𝑡/𝑅𝐶)</a:t>
              </a:r>
              <a:r>
                <a:rPr lang="it-IT" sz="1100"/>
                <a:t>)</a:t>
              </a:r>
            </a:p>
          </xdr:txBody>
        </xdr:sp>
      </mc:Fallback>
    </mc:AlternateContent>
    <xdr:clientData/>
  </xdr:oneCellAnchor>
  <xdr:oneCellAnchor>
    <xdr:from>
      <xdr:col>13</xdr:col>
      <xdr:colOff>563880</xdr:colOff>
      <xdr:row>9</xdr:row>
      <xdr:rowOff>11430</xdr:rowOff>
    </xdr:from>
    <xdr:ext cx="65" cy="172227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35188D7-B8F3-E32E-CE62-EF7BBFB752AD}"/>
            </a:ext>
          </a:extLst>
        </xdr:cNvPr>
        <xdr:cNvSpPr txBox="1"/>
      </xdr:nvSpPr>
      <xdr:spPr>
        <a:xfrm>
          <a:off x="7269480" y="165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13</xdr:col>
      <xdr:colOff>534186</xdr:colOff>
      <xdr:row>16</xdr:row>
      <xdr:rowOff>176634</xdr:rowOff>
    </xdr:from>
    <xdr:to>
      <xdr:col>21</xdr:col>
      <xdr:colOff>226244</xdr:colOff>
      <xdr:row>31</xdr:row>
      <xdr:rowOff>176635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F4EFF9B-C0A8-03BA-E2E7-F26C131E9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564901</xdr:colOff>
      <xdr:row>23</xdr:row>
      <xdr:rowOff>125260</xdr:rowOff>
    </xdr:from>
    <xdr:to>
      <xdr:col>21</xdr:col>
      <xdr:colOff>256959</xdr:colOff>
      <xdr:row>38</xdr:row>
      <xdr:rowOff>125259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6368C39-D06C-9650-3EC8-7B9E69E3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388620</xdr:colOff>
      <xdr:row>3</xdr:row>
      <xdr:rowOff>19050</xdr:rowOff>
    </xdr:from>
    <xdr:to>
      <xdr:col>20</xdr:col>
      <xdr:colOff>83820</xdr:colOff>
      <xdr:row>18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0FE4927-EE02-1AB0-9ADF-571F26DF9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7FBA-B9A3-4B24-AA34-B954421D16E2}">
  <dimension ref="A1:T49"/>
  <sheetViews>
    <sheetView tabSelected="1" topLeftCell="C1" zoomScale="97" workbookViewId="0">
      <selection activeCell="Q8" sqref="Q8"/>
    </sheetView>
  </sheetViews>
  <sheetFormatPr defaultRowHeight="14.4" x14ac:dyDescent="0.3"/>
  <cols>
    <col min="2" max="2" width="11" bestFit="1" customWidth="1"/>
    <col min="3" max="3" width="11.44140625" customWidth="1"/>
    <col min="5" max="5" width="22.21875" customWidth="1"/>
    <col min="9" max="9" width="11" bestFit="1" customWidth="1"/>
    <col min="17" max="17" width="12.33203125" bestFit="1" customWidth="1"/>
    <col min="20" max="20" width="14.21875" customWidth="1"/>
  </cols>
  <sheetData>
    <row r="1" spans="1:20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5</v>
      </c>
      <c r="J1" t="s">
        <v>11</v>
      </c>
      <c r="M1" t="s">
        <v>13</v>
      </c>
      <c r="O1" t="s">
        <v>0</v>
      </c>
      <c r="P1" t="s">
        <v>1</v>
      </c>
      <c r="Q1" t="s">
        <v>6</v>
      </c>
      <c r="R1" cm="1">
        <f t="array" ref="R1:S1">LINEST(M2:M24,I2:I24)</f>
        <v>-455099.71019196179</v>
      </c>
      <c r="S1">
        <v>3.3758333996026235</v>
      </c>
      <c r="T1" s="1" t="s">
        <v>7</v>
      </c>
    </row>
    <row r="2" spans="1:20" x14ac:dyDescent="0.3">
      <c r="A2">
        <v>5333</v>
      </c>
      <c r="B2">
        <f>0.02*10^(-6)</f>
        <v>2E-8</v>
      </c>
      <c r="C2">
        <v>1500</v>
      </c>
      <c r="D2">
        <f>1/C2</f>
        <v>6.6666666666666664E-4</v>
      </c>
      <c r="E2">
        <f>EXP(-(0.5*D2)/(A2*B2))</f>
        <v>4.3928352492766755E-2</v>
      </c>
      <c r="I2">
        <v>0</v>
      </c>
      <c r="J2">
        <v>0</v>
      </c>
      <c r="K2">
        <f>J2-28</f>
        <v>-28</v>
      </c>
      <c r="L2">
        <f>(-1)*K2</f>
        <v>28</v>
      </c>
      <c r="M2">
        <f>LN(L2)</f>
        <v>3.3322045101752038</v>
      </c>
      <c r="O2">
        <v>4033</v>
      </c>
      <c r="P2">
        <f>400*10^(-12)</f>
        <v>4.0000000000000001E-10</v>
      </c>
      <c r="Q2">
        <f>-1/(O2*P2)</f>
        <v>-619885.94098685845</v>
      </c>
      <c r="R2">
        <f>(R1-Q2)/Q2*100</f>
        <v>-26.583314751832727</v>
      </c>
    </row>
    <row r="3" spans="1:20" x14ac:dyDescent="0.3">
      <c r="D3" t="e">
        <f t="shared" ref="D3:D19" si="0">1/C3</f>
        <v>#DIV/0!</v>
      </c>
      <c r="E3" t="e">
        <f t="shared" ref="E3:E19" si="1">EXP(-(0.5*D3)/(A3*B3))</f>
        <v>#DIV/0!</v>
      </c>
      <c r="I3">
        <f>100*10^(-9)</f>
        <v>1.0000000000000001E-7</v>
      </c>
      <c r="J3">
        <f>400/1000</f>
        <v>0.4</v>
      </c>
      <c r="K3">
        <f t="shared" ref="K3:K35" si="2">J3-28</f>
        <v>-27.6</v>
      </c>
      <c r="L3">
        <f t="shared" ref="L3:L35" si="3">(-1)*K3</f>
        <v>27.6</v>
      </c>
      <c r="M3">
        <f t="shared" ref="M3:M35" si="4">LN(L3)</f>
        <v>3.3178157727231046</v>
      </c>
    </row>
    <row r="4" spans="1:20" x14ac:dyDescent="0.3">
      <c r="D4" t="e">
        <f t="shared" si="0"/>
        <v>#DIV/0!</v>
      </c>
      <c r="E4" t="e">
        <f t="shared" si="1"/>
        <v>#DIV/0!</v>
      </c>
      <c r="I4">
        <f>500*10^(-9)</f>
        <v>5.0000000000000008E-7</v>
      </c>
      <c r="J4">
        <v>4.8</v>
      </c>
      <c r="K4">
        <f t="shared" si="2"/>
        <v>-23.2</v>
      </c>
      <c r="L4">
        <f t="shared" si="3"/>
        <v>23.2</v>
      </c>
      <c r="M4">
        <f t="shared" si="4"/>
        <v>3.1441522786722644</v>
      </c>
    </row>
    <row r="5" spans="1:20" x14ac:dyDescent="0.3">
      <c r="D5" t="e">
        <f t="shared" si="0"/>
        <v>#DIV/0!</v>
      </c>
      <c r="E5" t="e">
        <f t="shared" si="1"/>
        <v>#DIV/0!</v>
      </c>
      <c r="I5">
        <f>600*10^(-9)</f>
        <v>6.0000000000000008E-7</v>
      </c>
      <c r="J5">
        <v>5.2</v>
      </c>
      <c r="K5">
        <f t="shared" si="2"/>
        <v>-22.8</v>
      </c>
      <c r="L5">
        <f t="shared" si="3"/>
        <v>22.8</v>
      </c>
      <c r="M5">
        <f t="shared" si="4"/>
        <v>3.1267605359603952</v>
      </c>
      <c r="O5" s="3"/>
      <c r="P5" s="3" t="s">
        <v>16</v>
      </c>
      <c r="Q5" s="3" t="s">
        <v>17</v>
      </c>
      <c r="R5" s="3" t="s">
        <v>18</v>
      </c>
    </row>
    <row r="6" spans="1:20" x14ac:dyDescent="0.3">
      <c r="D6" t="e">
        <f t="shared" si="0"/>
        <v>#DIV/0!</v>
      </c>
      <c r="E6" t="e">
        <f t="shared" si="1"/>
        <v>#DIV/0!</v>
      </c>
      <c r="I6">
        <f>7*10^(-7)</f>
        <v>6.9999999999999997E-7</v>
      </c>
      <c r="J6">
        <v>6.4</v>
      </c>
      <c r="K6">
        <f t="shared" si="2"/>
        <v>-21.6</v>
      </c>
      <c r="L6">
        <f t="shared" si="3"/>
        <v>21.6</v>
      </c>
      <c r="M6">
        <f t="shared" si="4"/>
        <v>3.0726933146901194</v>
      </c>
      <c r="O6" s="3" t="s">
        <v>14</v>
      </c>
      <c r="P6" s="4">
        <f>0.000002284</f>
        <v>2.2840000000000001E-6</v>
      </c>
      <c r="Q6" s="4">
        <f>0.00000005502</f>
        <v>5.5019999999999999E-8</v>
      </c>
      <c r="R6" s="4">
        <f>3*Q6</f>
        <v>1.6506E-7</v>
      </c>
    </row>
    <row r="7" spans="1:20" x14ac:dyDescent="0.3">
      <c r="D7" t="e">
        <f t="shared" si="0"/>
        <v>#DIV/0!</v>
      </c>
      <c r="E7" t="e">
        <f t="shared" si="1"/>
        <v>#DIV/0!</v>
      </c>
      <c r="I7">
        <f>8*10^(-7)</f>
        <v>7.9999999999999996E-7</v>
      </c>
      <c r="J7">
        <v>7.2</v>
      </c>
      <c r="K7">
        <f t="shared" si="2"/>
        <v>-20.8</v>
      </c>
      <c r="L7">
        <f t="shared" si="3"/>
        <v>20.8</v>
      </c>
      <c r="M7">
        <f t="shared" si="4"/>
        <v>3.0349529867072724</v>
      </c>
      <c r="O7" s="3" t="s">
        <v>15</v>
      </c>
      <c r="P7" s="3">
        <f>P2*O2</f>
        <v>1.6132000000000001E-6</v>
      </c>
      <c r="Q7" s="3"/>
      <c r="R7" s="3"/>
    </row>
    <row r="8" spans="1:20" x14ac:dyDescent="0.3">
      <c r="D8" t="e">
        <f t="shared" si="0"/>
        <v>#DIV/0!</v>
      </c>
      <c r="E8" t="e">
        <f t="shared" si="1"/>
        <v>#DIV/0!</v>
      </c>
      <c r="I8">
        <v>8.9999999999999996E-7</v>
      </c>
      <c r="J8">
        <v>8.8000000000000007</v>
      </c>
      <c r="K8">
        <f t="shared" si="2"/>
        <v>-19.2</v>
      </c>
      <c r="L8">
        <f t="shared" si="3"/>
        <v>19.2</v>
      </c>
      <c r="M8">
        <f t="shared" si="4"/>
        <v>2.954910279033736</v>
      </c>
    </row>
    <row r="9" spans="1:20" x14ac:dyDescent="0.3">
      <c r="D9" t="e">
        <f t="shared" si="0"/>
        <v>#DIV/0!</v>
      </c>
      <c r="E9" t="e">
        <f t="shared" si="1"/>
        <v>#DIV/0!</v>
      </c>
      <c r="I9">
        <f>1050*10^(-9)</f>
        <v>1.0500000000000001E-6</v>
      </c>
      <c r="J9">
        <v>9.6</v>
      </c>
      <c r="K9">
        <f t="shared" si="2"/>
        <v>-18.399999999999999</v>
      </c>
      <c r="L9">
        <f t="shared" si="3"/>
        <v>18.399999999999999</v>
      </c>
      <c r="M9">
        <f t="shared" si="4"/>
        <v>2.91235066461494</v>
      </c>
    </row>
    <row r="10" spans="1:20" x14ac:dyDescent="0.3">
      <c r="D10" t="e">
        <f t="shared" si="0"/>
        <v>#DIV/0!</v>
      </c>
      <c r="E10" t="e">
        <f t="shared" si="1"/>
        <v>#DIV/0!</v>
      </c>
      <c r="I10">
        <f>0.0012*10^(-3)</f>
        <v>1.1999999999999999E-6</v>
      </c>
      <c r="J10">
        <v>10.8</v>
      </c>
      <c r="K10">
        <f t="shared" si="2"/>
        <v>-17.2</v>
      </c>
      <c r="L10">
        <f t="shared" si="3"/>
        <v>17.2</v>
      </c>
      <c r="M10">
        <f t="shared" si="4"/>
        <v>2.8449093838194073</v>
      </c>
    </row>
    <row r="11" spans="1:20" x14ac:dyDescent="0.3">
      <c r="D11" t="e">
        <f t="shared" si="0"/>
        <v>#DIV/0!</v>
      </c>
      <c r="E11" t="e">
        <f t="shared" si="1"/>
        <v>#DIV/0!</v>
      </c>
      <c r="I11">
        <v>1.3E-6</v>
      </c>
      <c r="J11">
        <v>12.4</v>
      </c>
      <c r="K11">
        <f t="shared" si="2"/>
        <v>-15.6</v>
      </c>
      <c r="L11">
        <f t="shared" si="3"/>
        <v>15.6</v>
      </c>
      <c r="M11">
        <f t="shared" si="4"/>
        <v>2.7472709142554912</v>
      </c>
    </row>
    <row r="12" spans="1:20" x14ac:dyDescent="0.3">
      <c r="D12" t="e">
        <f t="shared" si="0"/>
        <v>#DIV/0!</v>
      </c>
      <c r="E12" t="e">
        <f t="shared" si="1"/>
        <v>#DIV/0!</v>
      </c>
      <c r="I12">
        <v>1.4500000000000001E-6</v>
      </c>
      <c r="J12">
        <v>12.8</v>
      </c>
      <c r="K12">
        <f t="shared" si="2"/>
        <v>-15.2</v>
      </c>
      <c r="L12">
        <f t="shared" si="3"/>
        <v>15.2</v>
      </c>
      <c r="M12">
        <f t="shared" si="4"/>
        <v>2.7212954278522306</v>
      </c>
    </row>
    <row r="13" spans="1:20" x14ac:dyDescent="0.3">
      <c r="D13" t="e">
        <f t="shared" si="0"/>
        <v>#DIV/0!</v>
      </c>
      <c r="E13" t="e">
        <f t="shared" si="1"/>
        <v>#DIV/0!</v>
      </c>
      <c r="I13">
        <v>1.5999999999999999E-6</v>
      </c>
      <c r="J13">
        <v>13.6</v>
      </c>
      <c r="K13">
        <f t="shared" si="2"/>
        <v>-14.4</v>
      </c>
      <c r="L13">
        <f t="shared" si="3"/>
        <v>14.4</v>
      </c>
      <c r="M13">
        <f t="shared" si="4"/>
        <v>2.6672282065819548</v>
      </c>
    </row>
    <row r="14" spans="1:20" x14ac:dyDescent="0.3">
      <c r="D14" t="e">
        <f t="shared" si="0"/>
        <v>#DIV/0!</v>
      </c>
      <c r="E14" t="e">
        <f t="shared" si="1"/>
        <v>#DIV/0!</v>
      </c>
      <c r="I14">
        <v>1.8500000000000001E-6</v>
      </c>
      <c r="J14">
        <v>15.2</v>
      </c>
      <c r="K14">
        <f t="shared" si="2"/>
        <v>-12.8</v>
      </c>
      <c r="L14">
        <f t="shared" si="3"/>
        <v>12.8</v>
      </c>
      <c r="M14">
        <f t="shared" si="4"/>
        <v>2.5494451709255714</v>
      </c>
    </row>
    <row r="15" spans="1:20" x14ac:dyDescent="0.3">
      <c r="D15" t="e">
        <f t="shared" si="0"/>
        <v>#DIV/0!</v>
      </c>
      <c r="E15" t="e">
        <f t="shared" si="1"/>
        <v>#DIV/0!</v>
      </c>
      <c r="I15">
        <v>2.0499999999999999E-6</v>
      </c>
      <c r="J15">
        <v>16.399999999999999</v>
      </c>
      <c r="K15">
        <f t="shared" si="2"/>
        <v>-11.600000000000001</v>
      </c>
      <c r="L15">
        <f t="shared" si="3"/>
        <v>11.600000000000001</v>
      </c>
      <c r="M15">
        <f t="shared" si="4"/>
        <v>2.451005098112319</v>
      </c>
    </row>
    <row r="16" spans="1:20" x14ac:dyDescent="0.3">
      <c r="D16" t="e">
        <f t="shared" si="0"/>
        <v>#DIV/0!</v>
      </c>
      <c r="E16" t="e">
        <f t="shared" si="1"/>
        <v>#DIV/0!</v>
      </c>
      <c r="I16">
        <v>2.2000000000000001E-6</v>
      </c>
      <c r="J16">
        <v>16.8</v>
      </c>
      <c r="K16">
        <f t="shared" si="2"/>
        <v>-11.2</v>
      </c>
      <c r="L16">
        <f t="shared" si="3"/>
        <v>11.2</v>
      </c>
      <c r="M16">
        <f t="shared" si="4"/>
        <v>2.4159137783010487</v>
      </c>
    </row>
    <row r="17" spans="4:13" x14ac:dyDescent="0.3">
      <c r="D17" t="e">
        <f t="shared" si="0"/>
        <v>#DIV/0!</v>
      </c>
      <c r="E17" t="e">
        <f t="shared" si="1"/>
        <v>#DIV/0!</v>
      </c>
      <c r="I17">
        <v>2.3499999999999999E-6</v>
      </c>
      <c r="J17">
        <v>18</v>
      </c>
      <c r="K17">
        <f t="shared" si="2"/>
        <v>-10</v>
      </c>
      <c r="L17">
        <f t="shared" si="3"/>
        <v>10</v>
      </c>
      <c r="M17">
        <f t="shared" si="4"/>
        <v>2.3025850929940459</v>
      </c>
    </row>
    <row r="18" spans="4:13" x14ac:dyDescent="0.3">
      <c r="D18" t="e">
        <f t="shared" si="0"/>
        <v>#DIV/0!</v>
      </c>
      <c r="E18" t="e">
        <f t="shared" si="1"/>
        <v>#DIV/0!</v>
      </c>
      <c r="I18">
        <v>2.5000000000000002E-6</v>
      </c>
      <c r="J18">
        <v>18.8</v>
      </c>
      <c r="K18">
        <f t="shared" si="2"/>
        <v>-9.1999999999999993</v>
      </c>
      <c r="L18">
        <f t="shared" si="3"/>
        <v>9.1999999999999993</v>
      </c>
      <c r="M18">
        <f t="shared" si="4"/>
        <v>2.2192034840549946</v>
      </c>
    </row>
    <row r="19" spans="4:13" x14ac:dyDescent="0.3">
      <c r="D19" t="e">
        <f t="shared" si="0"/>
        <v>#DIV/0!</v>
      </c>
      <c r="E19" t="e">
        <f t="shared" si="1"/>
        <v>#DIV/0!</v>
      </c>
      <c r="I19">
        <v>2.9000000000000002E-6</v>
      </c>
      <c r="J19">
        <v>20.399999999999999</v>
      </c>
      <c r="K19">
        <f t="shared" si="2"/>
        <v>-7.6000000000000014</v>
      </c>
      <c r="L19">
        <f t="shared" si="3"/>
        <v>7.6000000000000014</v>
      </c>
      <c r="M19">
        <f t="shared" si="4"/>
        <v>2.0281482472922856</v>
      </c>
    </row>
    <row r="20" spans="4:13" x14ac:dyDescent="0.3">
      <c r="I20">
        <v>3.1499999999999999E-6</v>
      </c>
      <c r="J20">
        <v>20.8</v>
      </c>
      <c r="K20">
        <f t="shared" si="2"/>
        <v>-7.1999999999999993</v>
      </c>
      <c r="L20">
        <f t="shared" si="3"/>
        <v>7.1999999999999993</v>
      </c>
      <c r="M20">
        <f t="shared" si="4"/>
        <v>1.9740810260220096</v>
      </c>
    </row>
    <row r="21" spans="4:13" x14ac:dyDescent="0.3">
      <c r="I21">
        <v>3.3500000000000001E-6</v>
      </c>
      <c r="J21">
        <v>22</v>
      </c>
      <c r="K21">
        <f t="shared" si="2"/>
        <v>-6</v>
      </c>
      <c r="L21">
        <f t="shared" si="3"/>
        <v>6</v>
      </c>
      <c r="M21">
        <f t="shared" si="4"/>
        <v>1.791759469228055</v>
      </c>
    </row>
    <row r="22" spans="4:13" x14ac:dyDescent="0.3">
      <c r="I22">
        <v>3.5499999999999999E-6</v>
      </c>
      <c r="J22">
        <v>22.4</v>
      </c>
      <c r="K22">
        <f t="shared" si="2"/>
        <v>-5.6000000000000014</v>
      </c>
      <c r="L22">
        <f t="shared" si="3"/>
        <v>5.6000000000000014</v>
      </c>
      <c r="M22">
        <f t="shared" si="4"/>
        <v>1.7227665977411037</v>
      </c>
    </row>
    <row r="23" spans="4:13" x14ac:dyDescent="0.3">
      <c r="I23">
        <v>3.8E-6</v>
      </c>
      <c r="J23">
        <v>22.8</v>
      </c>
      <c r="K23">
        <f t="shared" si="2"/>
        <v>-5.1999999999999993</v>
      </c>
      <c r="L23">
        <f t="shared" si="3"/>
        <v>5.1999999999999993</v>
      </c>
      <c r="M23">
        <f t="shared" si="4"/>
        <v>1.6486586255873816</v>
      </c>
    </row>
    <row r="24" spans="4:13" x14ac:dyDescent="0.3">
      <c r="I24" s="1">
        <v>4.25E-6</v>
      </c>
      <c r="J24">
        <v>23.6</v>
      </c>
      <c r="K24">
        <f t="shared" si="2"/>
        <v>-4.3999999999999986</v>
      </c>
      <c r="L24">
        <f t="shared" si="3"/>
        <v>4.3999999999999986</v>
      </c>
      <c r="M24" s="1">
        <f t="shared" si="4"/>
        <v>1.4816045409242151</v>
      </c>
    </row>
    <row r="25" spans="4:13" x14ac:dyDescent="0.3">
      <c r="I25">
        <v>4.8500000000000002E-6</v>
      </c>
      <c r="J25">
        <v>25.2</v>
      </c>
      <c r="K25">
        <f t="shared" si="2"/>
        <v>-2.8000000000000007</v>
      </c>
      <c r="L25">
        <f t="shared" si="3"/>
        <v>2.8000000000000007</v>
      </c>
      <c r="M25">
        <f t="shared" si="4"/>
        <v>1.0296194171811586</v>
      </c>
    </row>
    <row r="26" spans="4:13" x14ac:dyDescent="0.3">
      <c r="I26">
        <v>5.4999999999999999E-6</v>
      </c>
      <c r="J26">
        <v>26</v>
      </c>
      <c r="K26">
        <f t="shared" si="2"/>
        <v>-2</v>
      </c>
      <c r="L26">
        <f t="shared" si="3"/>
        <v>2</v>
      </c>
      <c r="M26">
        <f t="shared" si="4"/>
        <v>0.69314718055994529</v>
      </c>
    </row>
    <row r="27" spans="4:13" x14ac:dyDescent="0.3">
      <c r="I27">
        <v>6.1E-6</v>
      </c>
      <c r="J27">
        <v>26</v>
      </c>
      <c r="K27">
        <f t="shared" si="2"/>
        <v>-2</v>
      </c>
      <c r="L27">
        <f t="shared" si="3"/>
        <v>2</v>
      </c>
      <c r="M27">
        <f t="shared" si="4"/>
        <v>0.69314718055994529</v>
      </c>
    </row>
    <row r="28" spans="4:13" x14ac:dyDescent="0.3">
      <c r="I28">
        <v>6.8499999999999996E-6</v>
      </c>
      <c r="J28">
        <v>26</v>
      </c>
      <c r="K28">
        <f t="shared" si="2"/>
        <v>-2</v>
      </c>
      <c r="L28">
        <f t="shared" si="3"/>
        <v>2</v>
      </c>
      <c r="M28">
        <f t="shared" si="4"/>
        <v>0.69314718055994529</v>
      </c>
    </row>
    <row r="29" spans="4:13" x14ac:dyDescent="0.3">
      <c r="I29">
        <v>7.25E-6</v>
      </c>
      <c r="J29">
        <v>26.4</v>
      </c>
      <c r="K29">
        <f t="shared" si="2"/>
        <v>-1.6000000000000014</v>
      </c>
      <c r="L29">
        <f t="shared" si="3"/>
        <v>1.6000000000000014</v>
      </c>
      <c r="M29">
        <f t="shared" si="4"/>
        <v>0.47000362924573647</v>
      </c>
    </row>
    <row r="30" spans="4:13" x14ac:dyDescent="0.3">
      <c r="I30">
        <v>7.9000000000000006E-6</v>
      </c>
      <c r="J30">
        <v>27.2</v>
      </c>
      <c r="K30">
        <f t="shared" si="2"/>
        <v>-0.80000000000000071</v>
      </c>
      <c r="L30">
        <f t="shared" si="3"/>
        <v>0.80000000000000071</v>
      </c>
      <c r="M30">
        <f t="shared" si="4"/>
        <v>-0.22314355131420888</v>
      </c>
    </row>
    <row r="31" spans="4:13" x14ac:dyDescent="0.3">
      <c r="I31">
        <v>8.5499999999999995E-6</v>
      </c>
      <c r="J31">
        <v>27.6</v>
      </c>
      <c r="K31">
        <f t="shared" si="2"/>
        <v>-0.39999999999999858</v>
      </c>
      <c r="L31">
        <f t="shared" si="3"/>
        <v>0.39999999999999858</v>
      </c>
      <c r="M31">
        <f t="shared" si="4"/>
        <v>-0.91629073187415866</v>
      </c>
    </row>
    <row r="32" spans="4:13" x14ac:dyDescent="0.3">
      <c r="I32">
        <v>9.2E-6</v>
      </c>
      <c r="J32">
        <v>27.6</v>
      </c>
      <c r="K32">
        <f t="shared" si="2"/>
        <v>-0.39999999999999858</v>
      </c>
      <c r="L32">
        <f t="shared" si="3"/>
        <v>0.39999999999999858</v>
      </c>
      <c r="M32">
        <f t="shared" si="4"/>
        <v>-0.91629073187415866</v>
      </c>
    </row>
    <row r="33" spans="9:13" x14ac:dyDescent="0.3">
      <c r="I33">
        <v>1.08E-5</v>
      </c>
      <c r="J33">
        <v>27.6</v>
      </c>
      <c r="K33">
        <f t="shared" si="2"/>
        <v>-0.39999999999999858</v>
      </c>
      <c r="L33">
        <f t="shared" si="3"/>
        <v>0.39999999999999858</v>
      </c>
      <c r="M33">
        <f t="shared" si="4"/>
        <v>-0.91629073187415866</v>
      </c>
    </row>
    <row r="34" spans="9:13" x14ac:dyDescent="0.3">
      <c r="I34">
        <v>1.205E-5</v>
      </c>
      <c r="J34">
        <v>28</v>
      </c>
      <c r="K34">
        <f t="shared" si="2"/>
        <v>0</v>
      </c>
      <c r="L34">
        <f t="shared" si="3"/>
        <v>0</v>
      </c>
      <c r="M34" t="e">
        <f t="shared" si="4"/>
        <v>#NUM!</v>
      </c>
    </row>
    <row r="35" spans="9:13" x14ac:dyDescent="0.3">
      <c r="I35">
        <v>1.2500000000000001E-5</v>
      </c>
      <c r="J35">
        <v>28</v>
      </c>
      <c r="K35">
        <f t="shared" si="2"/>
        <v>0</v>
      </c>
      <c r="L35">
        <f t="shared" si="3"/>
        <v>0</v>
      </c>
      <c r="M35" t="e">
        <f t="shared" si="4"/>
        <v>#NUM!</v>
      </c>
    </row>
    <row r="36" spans="9:13" x14ac:dyDescent="0.3">
      <c r="M36" t="e">
        <f>LN(J36)</f>
        <v>#NUM!</v>
      </c>
    </row>
    <row r="37" spans="9:13" x14ac:dyDescent="0.3">
      <c r="M37" t="e">
        <f>LN(J37)</f>
        <v>#NUM!</v>
      </c>
    </row>
    <row r="38" spans="9:13" x14ac:dyDescent="0.3">
      <c r="M38" t="e">
        <f>LN(J38)</f>
        <v>#NUM!</v>
      </c>
    </row>
    <row r="39" spans="9:13" x14ac:dyDescent="0.3">
      <c r="M39" t="e">
        <f t="shared" ref="M39:M49" si="5">LN(J39)</f>
        <v>#NUM!</v>
      </c>
    </row>
    <row r="40" spans="9:13" x14ac:dyDescent="0.3">
      <c r="M40" t="e">
        <f t="shared" si="5"/>
        <v>#NUM!</v>
      </c>
    </row>
    <row r="41" spans="9:13" x14ac:dyDescent="0.3">
      <c r="M41" t="e">
        <f t="shared" si="5"/>
        <v>#NUM!</v>
      </c>
    </row>
    <row r="42" spans="9:13" x14ac:dyDescent="0.3">
      <c r="M42" t="e">
        <f t="shared" si="5"/>
        <v>#NUM!</v>
      </c>
    </row>
    <row r="43" spans="9:13" x14ac:dyDescent="0.3">
      <c r="M43" t="e">
        <f t="shared" si="5"/>
        <v>#NUM!</v>
      </c>
    </row>
    <row r="44" spans="9:13" x14ac:dyDescent="0.3">
      <c r="M44" t="e">
        <f t="shared" si="5"/>
        <v>#NUM!</v>
      </c>
    </row>
    <row r="45" spans="9:13" x14ac:dyDescent="0.3">
      <c r="M45" t="e">
        <f t="shared" si="5"/>
        <v>#NUM!</v>
      </c>
    </row>
    <row r="46" spans="9:13" x14ac:dyDescent="0.3">
      <c r="M46" t="e">
        <f t="shared" si="5"/>
        <v>#NUM!</v>
      </c>
    </row>
    <row r="47" spans="9:13" x14ac:dyDescent="0.3">
      <c r="M47" t="e">
        <f t="shared" si="5"/>
        <v>#NUM!</v>
      </c>
    </row>
    <row r="48" spans="9:13" x14ac:dyDescent="0.3">
      <c r="M48" t="e">
        <f t="shared" si="5"/>
        <v>#NUM!</v>
      </c>
    </row>
    <row r="49" spans="13:13" x14ac:dyDescent="0.3">
      <c r="M49" t="e">
        <f t="shared" si="5"/>
        <v>#NUM!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AFC2-05F1-4C31-91F5-EE1B6B3536ED}">
  <dimension ref="A1:K23"/>
  <sheetViews>
    <sheetView workbookViewId="0">
      <selection activeCell="J5" sqref="J5"/>
    </sheetView>
  </sheetViews>
  <sheetFormatPr defaultRowHeight="14.4" x14ac:dyDescent="0.3"/>
  <cols>
    <col min="2" max="2" width="15.88671875" customWidth="1"/>
  </cols>
  <sheetData>
    <row r="1" spans="1:11" x14ac:dyDescent="0.3">
      <c r="A1" s="2" t="s">
        <v>10</v>
      </c>
      <c r="B1" s="2"/>
      <c r="E1" t="s">
        <v>11</v>
      </c>
      <c r="F1" t="s">
        <v>2</v>
      </c>
      <c r="G1" t="s">
        <v>4</v>
      </c>
      <c r="I1" t="s">
        <v>11</v>
      </c>
      <c r="J1" t="s">
        <v>2</v>
      </c>
      <c r="K1" t="s">
        <v>12</v>
      </c>
    </row>
    <row r="2" spans="1:11" x14ac:dyDescent="0.3">
      <c r="A2" t="s">
        <v>0</v>
      </c>
      <c r="B2" t="s">
        <v>8</v>
      </c>
      <c r="E2">
        <v>75</v>
      </c>
      <c r="F2">
        <v>5.5999999999999999E-3</v>
      </c>
      <c r="G2">
        <f>1/F2</f>
        <v>178.57142857142858</v>
      </c>
      <c r="I2">
        <f>E2</f>
        <v>75</v>
      </c>
      <c r="J2">
        <f>AVERAGE(F2:F6)</f>
        <v>5.3299999999999997E-3</v>
      </c>
      <c r="K2">
        <f>1/J2</f>
        <v>187.61726078799251</v>
      </c>
    </row>
    <row r="3" spans="1:11" x14ac:dyDescent="0.3">
      <c r="A3" t="s">
        <v>1</v>
      </c>
      <c r="B3" t="s">
        <v>9</v>
      </c>
      <c r="F3">
        <v>4.9500000000000004E-3</v>
      </c>
      <c r="G3">
        <f t="shared" ref="G3:G21" si="0">1/F3</f>
        <v>202.02020202020199</v>
      </c>
      <c r="I3">
        <f>E7</f>
        <v>75.599999999999994</v>
      </c>
      <c r="J3">
        <f>AVERAGE(F7:F12)</f>
        <v>5.208333333333333E-3</v>
      </c>
      <c r="K3">
        <f t="shared" ref="K3:K14" si="1">1/J3</f>
        <v>192</v>
      </c>
    </row>
    <row r="4" spans="1:11" x14ac:dyDescent="0.3">
      <c r="F4">
        <v>4.8999999999999998E-3</v>
      </c>
      <c r="G4">
        <f t="shared" si="0"/>
        <v>204.08163265306123</v>
      </c>
      <c r="I4">
        <f>E13</f>
        <v>75.900000000000006</v>
      </c>
      <c r="J4">
        <f>F13</f>
        <v>5.3600000000000002E-3</v>
      </c>
      <c r="K4">
        <f t="shared" si="1"/>
        <v>186.56716417910448</v>
      </c>
    </row>
    <row r="5" spans="1:11" x14ac:dyDescent="0.3">
      <c r="F5">
        <v>5.6499999999999996E-3</v>
      </c>
      <c r="G5">
        <f t="shared" si="0"/>
        <v>176.99115044247787</v>
      </c>
      <c r="I5">
        <f t="shared" ref="I5:I14" si="2">E14</f>
        <v>76.3</v>
      </c>
      <c r="J5">
        <f t="shared" ref="J5:J14" si="3">F14</f>
        <v>4.7999999999999996E-3</v>
      </c>
      <c r="K5">
        <f t="shared" si="1"/>
        <v>208.33333333333334</v>
      </c>
    </row>
    <row r="6" spans="1:11" x14ac:dyDescent="0.3">
      <c r="F6">
        <v>5.5500000000000002E-3</v>
      </c>
      <c r="G6">
        <f t="shared" si="0"/>
        <v>180.18018018018017</v>
      </c>
      <c r="H6">
        <f>AVERAGE(G2:G6)</f>
        <v>188.36891877346997</v>
      </c>
      <c r="I6">
        <f t="shared" si="2"/>
        <v>76.5</v>
      </c>
      <c r="J6">
        <f t="shared" si="3"/>
        <v>4.7666666666666664E-3</v>
      </c>
      <c r="K6">
        <f t="shared" si="1"/>
        <v>209.79020979020979</v>
      </c>
    </row>
    <row r="7" spans="1:11" x14ac:dyDescent="0.3">
      <c r="E7">
        <v>75.599999999999994</v>
      </c>
      <c r="F7">
        <v>5.5999999999999999E-3</v>
      </c>
      <c r="G7">
        <f t="shared" si="0"/>
        <v>178.57142857142858</v>
      </c>
      <c r="I7">
        <f t="shared" si="2"/>
        <v>77</v>
      </c>
      <c r="J7">
        <f t="shared" si="3"/>
        <v>3.4499999999999999E-3</v>
      </c>
      <c r="K7">
        <f t="shared" si="1"/>
        <v>289.85507246376812</v>
      </c>
    </row>
    <row r="8" spans="1:11" x14ac:dyDescent="0.3">
      <c r="F8">
        <v>5.0000000000000001E-3</v>
      </c>
      <c r="G8">
        <f t="shared" si="0"/>
        <v>200</v>
      </c>
      <c r="I8">
        <f t="shared" si="2"/>
        <v>77.3</v>
      </c>
      <c r="J8">
        <f t="shared" si="3"/>
        <v>3.1700000000000001E-3</v>
      </c>
      <c r="K8">
        <f t="shared" si="1"/>
        <v>315.45741324921136</v>
      </c>
    </row>
    <row r="9" spans="1:11" x14ac:dyDescent="0.3">
      <c r="F9">
        <v>4.7999999999999996E-3</v>
      </c>
      <c r="G9">
        <f t="shared" si="0"/>
        <v>208.33333333333334</v>
      </c>
      <c r="I9">
        <f t="shared" si="2"/>
        <v>77.599999999999994</v>
      </c>
      <c r="J9">
        <f t="shared" si="3"/>
        <v>2.9550000000000002E-3</v>
      </c>
      <c r="K9">
        <f t="shared" si="1"/>
        <v>338.40947546531299</v>
      </c>
    </row>
    <row r="10" spans="1:11" x14ac:dyDescent="0.3">
      <c r="F10">
        <v>5.1500000000000001E-3</v>
      </c>
      <c r="G10">
        <f t="shared" si="0"/>
        <v>194.17475728155338</v>
      </c>
      <c r="I10">
        <f t="shared" si="2"/>
        <v>77.900000000000006</v>
      </c>
      <c r="J10">
        <f t="shared" si="3"/>
        <v>2.7650000000000001E-3</v>
      </c>
      <c r="K10">
        <f t="shared" si="1"/>
        <v>361.6636528028933</v>
      </c>
    </row>
    <row r="11" spans="1:11" x14ac:dyDescent="0.3">
      <c r="F11">
        <v>5.5999999999999999E-3</v>
      </c>
      <c r="G11">
        <f t="shared" si="0"/>
        <v>178.57142857142858</v>
      </c>
      <c r="I11">
        <f t="shared" si="2"/>
        <v>78.2</v>
      </c>
      <c r="J11">
        <f t="shared" si="3"/>
        <v>2.5833333333333333E-3</v>
      </c>
      <c r="K11">
        <f t="shared" si="1"/>
        <v>387.09677419354841</v>
      </c>
    </row>
    <row r="12" spans="1:11" x14ac:dyDescent="0.3">
      <c r="F12">
        <v>5.1000000000000004E-3</v>
      </c>
      <c r="G12">
        <f t="shared" si="0"/>
        <v>196.07843137254901</v>
      </c>
      <c r="H12">
        <f>AVERAGE(G7:G12)</f>
        <v>192.62156318838217</v>
      </c>
      <c r="I12">
        <f t="shared" si="2"/>
        <v>79.2</v>
      </c>
      <c r="J12">
        <f t="shared" si="3"/>
        <v>2.1071428571428569E-3</v>
      </c>
      <c r="K12">
        <f t="shared" si="1"/>
        <v>474.57627118644075</v>
      </c>
    </row>
    <row r="13" spans="1:11" x14ac:dyDescent="0.3">
      <c r="E13">
        <v>75.900000000000006</v>
      </c>
      <c r="F13">
        <f>0.0268/5</f>
        <v>5.3600000000000002E-3</v>
      </c>
      <c r="G13">
        <f t="shared" si="0"/>
        <v>186.56716417910448</v>
      </c>
      <c r="I13">
        <f t="shared" si="2"/>
        <v>80.7</v>
      </c>
      <c r="J13">
        <f t="shared" si="3"/>
        <v>1.6999999999999999E-3</v>
      </c>
      <c r="K13">
        <f t="shared" si="1"/>
        <v>588.23529411764707</v>
      </c>
    </row>
    <row r="14" spans="1:11" x14ac:dyDescent="0.3">
      <c r="E14">
        <v>76.3</v>
      </c>
      <c r="F14">
        <f>0.0288/6</f>
        <v>4.7999999999999996E-3</v>
      </c>
      <c r="G14">
        <f t="shared" si="0"/>
        <v>208.33333333333334</v>
      </c>
      <c r="I14">
        <f t="shared" si="2"/>
        <v>82.8</v>
      </c>
      <c r="J14">
        <f t="shared" si="3"/>
        <v>1.3500000000000001E-3</v>
      </c>
      <c r="K14">
        <f t="shared" si="1"/>
        <v>740.74074074074065</v>
      </c>
    </row>
    <row r="15" spans="1:11" x14ac:dyDescent="0.3">
      <c r="E15">
        <v>76.5</v>
      </c>
      <c r="F15">
        <f>0.0286/6</f>
        <v>4.7666666666666664E-3</v>
      </c>
      <c r="G15">
        <f t="shared" si="0"/>
        <v>209.79020979020979</v>
      </c>
    </row>
    <row r="16" spans="1:11" x14ac:dyDescent="0.3">
      <c r="E16">
        <v>77</v>
      </c>
      <c r="F16">
        <f>0.0276/8</f>
        <v>3.4499999999999999E-3</v>
      </c>
      <c r="G16">
        <f t="shared" si="0"/>
        <v>289.85507246376812</v>
      </c>
    </row>
    <row r="17" spans="5:7" x14ac:dyDescent="0.3">
      <c r="E17">
        <v>77.3</v>
      </c>
      <c r="F17">
        <f>0.0317/10</f>
        <v>3.1700000000000001E-3</v>
      </c>
      <c r="G17">
        <f t="shared" si="0"/>
        <v>315.45741324921136</v>
      </c>
    </row>
    <row r="18" spans="5:7" x14ac:dyDescent="0.3">
      <c r="E18">
        <v>77.599999999999994</v>
      </c>
      <c r="F18">
        <f>0.02955/10</f>
        <v>2.9550000000000002E-3</v>
      </c>
      <c r="G18">
        <f t="shared" si="0"/>
        <v>338.40947546531299</v>
      </c>
    </row>
    <row r="19" spans="5:7" x14ac:dyDescent="0.3">
      <c r="E19">
        <v>77.900000000000006</v>
      </c>
      <c r="F19">
        <f>0.02765/10</f>
        <v>2.7650000000000001E-3</v>
      </c>
      <c r="G19">
        <f t="shared" si="0"/>
        <v>361.6636528028933</v>
      </c>
    </row>
    <row r="20" spans="5:7" x14ac:dyDescent="0.3">
      <c r="E20">
        <v>78.2</v>
      </c>
      <c r="F20">
        <f>0.031/12</f>
        <v>2.5833333333333333E-3</v>
      </c>
      <c r="G20">
        <f t="shared" si="0"/>
        <v>387.09677419354841</v>
      </c>
    </row>
    <row r="21" spans="5:7" x14ac:dyDescent="0.3">
      <c r="E21">
        <v>79.2</v>
      </c>
      <c r="F21">
        <f>0.0295/14</f>
        <v>2.1071428571428569E-3</v>
      </c>
      <c r="G21">
        <f t="shared" si="0"/>
        <v>474.57627118644075</v>
      </c>
    </row>
    <row r="22" spans="5:7" x14ac:dyDescent="0.3">
      <c r="E22">
        <v>80.7</v>
      </c>
      <c r="F22">
        <f>0.0306/18</f>
        <v>1.6999999999999999E-3</v>
      </c>
    </row>
    <row r="23" spans="5:7" x14ac:dyDescent="0.3">
      <c r="E23">
        <v>82.8</v>
      </c>
      <c r="F23">
        <f>0.0108/8</f>
        <v>1.3500000000000001E-3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Carica condensatore</vt:lpstr>
      <vt:lpstr>Lampadina al neon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 CAROLA [SM2002056]</dc:creator>
  <cp:lastModifiedBy>MIROLO MANUELE [SM2001968]</cp:lastModifiedBy>
  <dcterms:created xsi:type="dcterms:W3CDTF">2025-11-11T13:13:40Z</dcterms:created>
  <dcterms:modified xsi:type="dcterms:W3CDTF">2025-11-12T22:20:01Z</dcterms:modified>
</cp:coreProperties>
</file>